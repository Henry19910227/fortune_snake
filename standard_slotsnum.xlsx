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 activeTab="7"/>
  </bookViews>
  <sheets>
    <sheet name="data" sheetId="1" r:id="rId1"/>
    <sheet name="datafree" sheetId="9" r:id="rId2"/>
    <sheet name="delete" sheetId="8" r:id="rId3"/>
    <sheet name="config" sheetId="3" r:id="rId4"/>
    <sheet name="sheet_base" sheetId="6" r:id="rId5"/>
    <sheet name="sheet_free" sheetId="10" r:id="rId6"/>
    <sheet name="sheet_base_H" sheetId="11" r:id="rId7"/>
    <sheet name="sheet_free_H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<sst xmlns="http://schemas.openxmlformats.org/spreadsheetml/2006/main" count="44" uniqueCount="35">
  <si>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编号</t>
  </si>
  <si>
    <t>倍率下限(不包含)</t>
  </si>
  <si>
    <t>倍率上限(包含)</t>
  </si>
  <si>
    <t>存储上限base</t>
  </si>
  <si>
    <t>存储上限free</t>
  </si>
  <si>
    <t>存储上限jackpot1</t>
  </si>
  <si>
    <t>存储上限jackpot2</t>
  </si>
  <si>
    <t>存储上限jackpot3</t>
  </si>
  <si>
    <t>存储上限jackpot4</t>
  </si>
  <si>
    <t>存储上限jackpot5</t>
  </si>
  <si>
    <t>存储上限special1</t>
  </si>
  <si>
    <t>存储上限special2</t>
  </si>
  <si>
    <t>存储上限special3</t>
  </si>
  <si>
    <t>存储上限总计</t>
  </si>
  <si>
    <t>权重</t>
  </si>
  <si>
    <t>free占比</t>
  </si>
  <si>
    <t>avg pay</t>
  </si>
  <si>
    <t>倍率总个数</t>
  </si>
  <si>
    <t>存储上限总数</t>
  </si>
  <si>
    <t>非0存储总数</t>
  </si>
  <si>
    <t>freerate</t>
  </si>
  <si>
    <t>avgfree</t>
  </si>
  <si>
    <t>freertp</t>
  </si>
  <si>
    <t>basertp</t>
  </si>
  <si>
    <t>倍率下限</t>
  </si>
  <si>
    <t>倍率上限</t>
  </si>
  <si>
    <t>倍率区间起始</t>
  </si>
  <si>
    <t>大奖倍率</t>
  </si>
  <si>
    <t>大大奖倍率</t>
  </si>
  <si>
    <t>大大大奖倍率</t>
  </si>
  <si>
    <t>最低free win占比（百分比）</t>
  </si>
  <si>
    <t>最低special win占比（百分比）</t>
  </si>
  <si>
    <t>福牛触发概率</t>
  </si>
  <si>
    <t>三个爆竹为0.3倍</t>
  </si>
  <si>
    <t>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</si>
</sst>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/>
    <xf numFmtId="0" fontId="0" fillId="0" borderId="0" xfId="0" applyNumberFormat="1" applyFont="1" applyFill="1" applyBorder="1" applyAlignment="1" applyProtection="1"/>
    <xf numFmtId="0" fontId="0" fillId="0" borderId="0" xfId="0" applyFill="1" applyAlignment="1">
      <alignment vertical="center"/>
    </xf>
    <xf numFmtId="0" fontId="0" fillId="0" borderId="0" xfId="0" applyFont="1"/>
    <xf numFmtId="0" fontId="1" fillId="2" borderId="1" xfId="22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3"/>
  <sheetViews>
    <sheetView workbookViewId="0">
      <selection activeCell="I42" sqref="I42"/>
    </sheetView>
  </sheetViews>
  <sheetFormatPr defaultColWidth="9" defaultRowHeight="13.8"/>
  <cols>
    <col min="1" max="1" width="5" customWidth="1"/>
    <col min="2" max="2" width="15.4444444444444" customWidth="1"/>
    <col min="3" max="3" width="14.7777777777778" customWidth="1"/>
    <col min="4" max="4" width="13.6666666666667" customWidth="1"/>
    <col min="5" max="5" width="12.2222222222222" customWidth="1"/>
    <col min="6" max="6" width="6.44444444444444" customWidth="1"/>
    <col min="7" max="7" width="9.66666666666667" customWidth="1"/>
    <col min="8" max="8" width="9.77777777777778" customWidth="1"/>
    <col min="9" max="10" width="10.6666666666667" customWidth="1"/>
    <col min="11" max="11" width="9.44444444444444" customWidth="1"/>
    <col min="12" max="12" width="10.1111111111111" customWidth="1"/>
    <col min="13" max="14" width="10.6666666666667" customWidth="1"/>
    <col min="15" max="15" width="7.88888888888889" customWidth="1"/>
    <col min="16" max="17" width="10.4444444444444" customWidth="1"/>
    <col min="18" max="18" width="9.88888888888889" customWidth="1"/>
    <col min="19" max="22" width="9.66666666666667"/>
    <col min="24" max="26" width="12.8888888888889"/>
  </cols>
  <sheetData>
    <row r="1" spans="1: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t="s">
        <v>14</v>
      </c>
      <c r="P1" t="s">
        <v>15</v>
      </c>
      <c r="Q1" t="s">
        <v>16</v>
      </c>
      <c r="X1" t="s">
        <v>17</v>
      </c>
      <c r="Y1">
        <f>COUNT(B2:B625)</f>
        <v>29</v>
      </c>
    </row>
    <row r="2" spans="1:25">
      <c r="A2">
        <v>1</v>
      </c>
      <c r="B2">
        <v>0</v>
      </c>
      <c r="C2">
        <v>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f t="shared" ref="N2:N30" si="0">SUM(D2:M2)</f>
        <v>5000</v>
      </c>
      <c r="O2">
        <f>48000000</f>
        <v>48000000</v>
      </c>
      <c r="P2">
        <f>E2/N2</f>
        <v>0</v>
      </c>
      <c r="Q2">
        <f t="shared" ref="Q2:Q27" si="1">SUM(B2:C2)/2</f>
        <v>0</v>
      </c>
      <c r="R2">
        <v>0</v>
      </c>
      <c r="S2">
        <v>49226000</v>
      </c>
      <c r="T2">
        <v>1</v>
      </c>
      <c r="U2">
        <v>1</v>
      </c>
      <c r="V2">
        <f t="shared" ref="V2:V32" si="2">ROUND(S2/U2,0)</f>
        <v>49226000</v>
      </c>
      <c r="X2" t="s">
        <v>18</v>
      </c>
      <c r="Y2">
        <f>SUM(N:N)</f>
        <v>8338</v>
      </c>
    </row>
    <row r="3" spans="1:25">
      <c r="A3">
        <v>2</v>
      </c>
      <c r="B3">
        <v>0</v>
      </c>
      <c r="C3">
        <v>0.2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f t="shared" si="0"/>
        <v>0</v>
      </c>
      <c r="O3">
        <f>_xlfn.IFS(C3&lt;=R$3,V$3,C3&lt;=R$4,V$4,C3&lt;=R$5,V$5,C3&lt;=R$6,V$6,C3&lt;=R$7,V$7,C3&lt;=R$8,V$8,C3&lt;=R$9,V$9,C3&lt;=R$10,V$10,C3&lt;=R$11,V$11,C3&lt;=R$12,V$12,C3&lt;=R$13,V$13,C3&lt;=R$14,V$14,C3&lt;=R$15,V$15,C3&lt;=R$16,V$16,C3&lt;=R$17,V$17,C3&lt;=R$18,V$18,C3&lt;=R$19,V$19,C3&lt;=R$20,V$20,C3&lt;=R$21,V$21,C3&lt;=R$22,V$22,C3&lt;=R$23,V$23,C3&lt;=R$24,V$24,C3&lt;=R$25,V$25,C3&lt;=R$26,V$26,C3&lt;=R$27,V$27,C3&lt;=R$28,V$28,C3&lt;=R$29,V$29,C3&lt;=R$30,V$30,C3&lt;=R$31,V$31,C3&lt;=R$32,V$32)</f>
        <v>1305000</v>
      </c>
      <c r="P3">
        <v>0</v>
      </c>
      <c r="Q3">
        <f t="shared" si="1"/>
        <v>0.1</v>
      </c>
      <c r="R3">
        <v>0.5</v>
      </c>
      <c r="S3">
        <v>5220000</v>
      </c>
      <c r="T3">
        <f>COUNTIF(C:C,"&lt;="&amp;R3)</f>
        <v>5</v>
      </c>
      <c r="U3">
        <f t="shared" ref="U3:U32" si="3">T3-T2</f>
        <v>4</v>
      </c>
      <c r="V3">
        <f t="shared" si="2"/>
        <v>1305000</v>
      </c>
      <c r="X3" t="s">
        <v>19</v>
      </c>
      <c r="Y3">
        <f>Y2-N2</f>
        <v>3338</v>
      </c>
    </row>
    <row r="4" spans="1:22">
      <c r="A4">
        <v>3</v>
      </c>
      <c r="B4">
        <v>0.2</v>
      </c>
      <c r="C4">
        <v>0.3</v>
      </c>
      <c r="D4">
        <v>200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f t="shared" si="0"/>
        <v>200</v>
      </c>
      <c r="O4">
        <f>_xlfn.IFS(C4&lt;=R$3,V$3,C4&lt;=R$4,V$4,C4&lt;=R$5,V$5,C4&lt;=R$6,V$6,C4&lt;=R$7,V$7,C4&lt;=R$8,V$8,C4&lt;=R$9,V$9,C4&lt;=R$10,V$10,C4&lt;=R$11,V$11,C4&lt;=R$12,V$12,C4&lt;=R$13,V$13,C4&lt;=R$14,V$14,C4&lt;=R$15,V$15,C4&lt;=R$16,V$16,C4&lt;=R$17,V$17,C4&lt;=R$18,V$18,C4&lt;=R$19,V$19,C4&lt;=R$20,V$20,C4&lt;=R$21,V$21,C4&lt;=R$22,V$22,C4&lt;=R$23,V$23,C4&lt;=R$24,V$24,C4&lt;=R$25,V$25,C4&lt;=R$26,V$26,C4&lt;=R$27,V$27,C4&lt;=R$28,V$28,C4&lt;=R$29,V$29,C4&lt;=R$30,V$30,C4&lt;=R$31,V$31,C4&lt;=R$32,V$32)</f>
        <v>1305000</v>
      </c>
      <c r="P4">
        <v>0</v>
      </c>
      <c r="Q4">
        <f t="shared" si="1"/>
        <v>0.25</v>
      </c>
      <c r="R4">
        <v>1</v>
      </c>
      <c r="S4">
        <v>3443000</v>
      </c>
      <c r="T4">
        <f>COUNTIF(C:C,"&lt;="&amp;R4)</f>
        <v>10</v>
      </c>
      <c r="U4">
        <f t="shared" si="3"/>
        <v>5</v>
      </c>
      <c r="V4">
        <f t="shared" si="2"/>
        <v>688600</v>
      </c>
    </row>
    <row r="5" spans="1:24">
      <c r="A5">
        <v>4</v>
      </c>
      <c r="B5">
        <v>0.3</v>
      </c>
      <c r="C5">
        <v>0.4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 t="shared" si="0"/>
        <v>0</v>
      </c>
      <c r="O5">
        <f>_xlfn.IFS(C5&lt;=R$3,V$3,C5&lt;=R$4,V$4,C5&lt;=R$5,V$5,C5&lt;=R$6,V$6,C5&lt;=R$7,V$7,C5&lt;=R$8,V$8,C5&lt;=R$9,V$9,C5&lt;=R$10,V$10,C5&lt;=R$11,V$11,C5&lt;=R$12,V$12,C5&lt;=R$13,V$13,C5&lt;=R$14,V$14,C5&lt;=R$15,V$15,C5&lt;=R$16,V$16,C5&lt;=R$17,V$17,C5&lt;=R$18,V$18,C5&lt;=R$19,V$19,C5&lt;=R$20,V$20,C5&lt;=R$21,V$21,C5&lt;=R$22,V$22,C5&lt;=R$23,V$23,C5&lt;=R$24,V$24,C5&lt;=R$25,V$25,C5&lt;=R$26,V$26,C5&lt;=R$27,V$27,C5&lt;=R$28,V$28,C5&lt;=R$29,V$29,C5&lt;=R$30,V$30,C5&lt;=R$31,V$31,C5&lt;=R$32,V$32)</f>
        <v>1305000</v>
      </c>
      <c r="P5" t="e">
        <f>E5/N5</f>
        <v>#DIV/0!</v>
      </c>
      <c r="Q5">
        <f t="shared" si="1"/>
        <v>0.35</v>
      </c>
      <c r="R5">
        <v>2</v>
      </c>
      <c r="S5">
        <v>1630000</v>
      </c>
      <c r="T5">
        <f>COUNTIF(C:C,"&lt;="&amp;R5)</f>
        <v>11</v>
      </c>
      <c r="U5">
        <f t="shared" si="3"/>
        <v>1</v>
      </c>
      <c r="V5">
        <f t="shared" si="2"/>
        <v>1630000</v>
      </c>
      <c r="X5" t="s">
        <v>20</v>
      </c>
    </row>
    <row r="6" spans="1:24">
      <c r="A6">
        <v>5</v>
      </c>
      <c r="B6">
        <v>0.4</v>
      </c>
      <c r="C6">
        <v>0.5</v>
      </c>
      <c r="D6">
        <v>200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f t="shared" si="0"/>
        <v>200</v>
      </c>
      <c r="O6">
        <f>_xlfn.IFS(C6&lt;=R$3,V$3,C6&lt;=R$4,V$4,C6&lt;=R$5,V$5,C6&lt;=R$6,V$6,C6&lt;=R$7,V$7,C6&lt;=R$8,V$8,C6&lt;=R$9,V$9,C6&lt;=R$10,V$10,C6&lt;=R$11,V$11,C6&lt;=R$12,V$12,C6&lt;=R$13,V$13,C6&lt;=R$14,V$14,C6&lt;=R$15,V$15,C6&lt;=R$16,V$16,C6&lt;=R$17,V$17,C6&lt;=R$18,V$18,C6&lt;=R$19,V$19,C6&lt;=R$20,V$20,C6&lt;=R$21,V$21,C6&lt;=R$22,V$22,C6&lt;=R$23,V$23,C6&lt;=R$24,V$24,C6&lt;=R$25,V$25,C6&lt;=R$26,V$26,C6&lt;=R$27,V$27,C6&lt;=R$28,V$28,C6&lt;=R$29,V$29,C6&lt;=R$30,V$30,C6&lt;=R$31,V$31,C6&lt;=R$32,V$32)</f>
        <v>1305000</v>
      </c>
      <c r="P6">
        <v>0</v>
      </c>
      <c r="Q6">
        <f t="shared" si="1"/>
        <v>0.45</v>
      </c>
      <c r="R6">
        <v>3</v>
      </c>
      <c r="S6">
        <v>630000</v>
      </c>
      <c r="T6">
        <f>COUNTIF(C:C,"&lt;="&amp;R6)</f>
        <v>12</v>
      </c>
      <c r="U6">
        <f t="shared" si="3"/>
        <v>1</v>
      </c>
      <c r="V6">
        <f t="shared" si="2"/>
        <v>630000</v>
      </c>
      <c r="X6" t="e">
        <f>SUMPRODUCT(O2:O28,P2:P28)/SUM(O2:O28)</f>
        <v>#DIV/0!</v>
      </c>
    </row>
    <row r="7" spans="1:24">
      <c r="A7">
        <v>6</v>
      </c>
      <c r="B7">
        <v>0.5</v>
      </c>
      <c r="C7">
        <v>0.6</v>
      </c>
      <c r="D7">
        <v>200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 t="shared" si="0"/>
        <v>200</v>
      </c>
      <c r="O7">
        <f>_xlfn.IFS(C7&lt;=R$3,V$3,C7&lt;=R$4,V$4,C7&lt;=R$5,V$5,C7&lt;=R$6,V$6,C7&lt;=R$7,V$7,C7&lt;=R$8,V$8,C7&lt;=R$9,V$9,C7&lt;=R$10,V$10,C7&lt;=R$11,V$11,C7&lt;=R$12,V$12,C7&lt;=R$13,V$13,C7&lt;=R$14,V$14,C7&lt;=R$15,V$15,C7&lt;=R$16,V$16,C7&lt;=R$17,V$17,C7&lt;=R$18,V$18,C7&lt;=R$19,V$19,C7&lt;=R$20,V$20,C7&lt;=R$21,V$21,C7&lt;=R$22,V$22,C7&lt;=R$23,V$23,C7&lt;=R$24,V$24,C7&lt;=R$25,V$25,C7&lt;=R$26,V$26,C7&lt;=R$27,V$27,C7&lt;=R$28,V$28,C7&lt;=R$29,V$29,C7&lt;=R$30,V$30,C7&lt;=R$31,V$31,C7&lt;=R$32,V$32)</f>
        <v>688600</v>
      </c>
      <c r="P7">
        <v>0</v>
      </c>
      <c r="Q7">
        <f t="shared" si="1"/>
        <v>0.55</v>
      </c>
      <c r="R7">
        <v>4</v>
      </c>
      <c r="S7">
        <v>163000</v>
      </c>
      <c r="T7">
        <f>COUNTIF(C:C,"&lt;="&amp;R7)</f>
        <v>13</v>
      </c>
      <c r="U7">
        <f t="shared" si="3"/>
        <v>1</v>
      </c>
      <c r="V7">
        <f t="shared" si="2"/>
        <v>163000</v>
      </c>
      <c r="X7" t="s">
        <v>21</v>
      </c>
    </row>
    <row r="8" spans="1:24">
      <c r="A8">
        <v>7</v>
      </c>
      <c r="B8">
        <v>0.6</v>
      </c>
      <c r="C8">
        <v>0.7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f t="shared" si="0"/>
        <v>0</v>
      </c>
      <c r="O8">
        <f>_xlfn.IFS(C8&lt;=R$3,V$3,C8&lt;=R$4,V$4,C8&lt;=R$5,V$5,C8&lt;=R$6,V$6,C8&lt;=R$7,V$7,C8&lt;=R$8,V$8,C8&lt;=R$9,V$9,C8&lt;=R$10,V$10,C8&lt;=R$11,V$11,C8&lt;=R$12,V$12,C8&lt;=R$13,V$13,C8&lt;=R$14,V$14,C8&lt;=R$15,V$15,C8&lt;=R$16,V$16,C8&lt;=R$17,V$17,C8&lt;=R$18,V$18,C8&lt;=R$19,V$19,C8&lt;=R$20,V$20,C8&lt;=R$21,V$21,C8&lt;=R$22,V$22,C8&lt;=R$23,V$23,C8&lt;=R$24,V$24,C8&lt;=R$25,V$25,C8&lt;=R$26,V$26,C8&lt;=R$27,V$27,C8&lt;=R$28,V$28,C8&lt;=R$29,V$29,C8&lt;=R$30,V$30,C8&lt;=R$31,V$31,C8&lt;=R$32,V$32)</f>
        <v>688600</v>
      </c>
      <c r="P8">
        <v>0</v>
      </c>
      <c r="Q8">
        <f t="shared" si="1"/>
        <v>0.65</v>
      </c>
      <c r="R8">
        <v>5</v>
      </c>
      <c r="S8">
        <v>320000</v>
      </c>
      <c r="T8">
        <f>COUNTIF(C:C,"&lt;="&amp;R8)</f>
        <v>14</v>
      </c>
      <c r="U8">
        <f t="shared" si="3"/>
        <v>1</v>
      </c>
      <c r="V8">
        <f t="shared" si="2"/>
        <v>320000</v>
      </c>
      <c r="X8">
        <f>60*0.96</f>
        <v>57.6</v>
      </c>
    </row>
    <row r="9" spans="1:24">
      <c r="A9">
        <v>8</v>
      </c>
      <c r="B9">
        <v>0.7</v>
      </c>
      <c r="C9">
        <v>0.8</v>
      </c>
      <c r="D9">
        <v>200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f t="shared" si="0"/>
        <v>200</v>
      </c>
      <c r="O9">
        <f>_xlfn.IFS(C9&lt;=R$3,V$3,C9&lt;=R$4,V$4,C9&lt;=R$5,V$5,C9&lt;=R$6,V$6,C9&lt;=R$7,V$7,C9&lt;=R$8,V$8,C9&lt;=R$9,V$9,C9&lt;=R$10,V$10,C9&lt;=R$11,V$11,C9&lt;=R$12,V$12,C9&lt;=R$13,V$13,C9&lt;=R$14,V$14,C9&lt;=R$15,V$15,C9&lt;=R$16,V$16,C9&lt;=R$17,V$17,C9&lt;=R$18,V$18,C9&lt;=R$19,V$19,C9&lt;=R$20,V$20,C9&lt;=R$21,V$21,C9&lt;=R$22,V$22,C9&lt;=R$23,V$23,C9&lt;=R$24,V$24,C9&lt;=R$25,V$25,C9&lt;=R$26,V$26,C9&lt;=R$27,V$27,C9&lt;=R$28,V$28,C9&lt;=R$29,V$29,C9&lt;=R$30,V$30,C9&lt;=R$31,V$31,C9&lt;=R$32,V$32)</f>
        <v>688600</v>
      </c>
      <c r="P9">
        <f t="shared" ref="P9:P27" si="4">E9/N9</f>
        <v>0</v>
      </c>
      <c r="Q9">
        <f t="shared" si="1"/>
        <v>0.75</v>
      </c>
      <c r="R9">
        <v>6</v>
      </c>
      <c r="S9">
        <v>44500</v>
      </c>
      <c r="T9">
        <f>COUNTIF(C:C,"&lt;="&amp;R9)</f>
        <v>15</v>
      </c>
      <c r="U9">
        <f t="shared" si="3"/>
        <v>1</v>
      </c>
      <c r="V9">
        <f t="shared" si="2"/>
        <v>44500</v>
      </c>
      <c r="X9" t="s">
        <v>22</v>
      </c>
    </row>
    <row r="10" spans="1:24">
      <c r="A10">
        <v>9</v>
      </c>
      <c r="B10">
        <v>0.8</v>
      </c>
      <c r="C10">
        <v>0.9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 t="shared" si="0"/>
        <v>30</v>
      </c>
      <c r="O10">
        <f>_xlfn.IFS(C10&lt;=R$3,V$3,C10&lt;=R$4,V$4,C10&lt;=R$5,V$5,C10&lt;=R$6,V$6,C10&lt;=R$7,V$7,C10&lt;=R$8,V$8,C10&lt;=R$9,V$9,C10&lt;=R$10,V$10,C10&lt;=R$11,V$11,C10&lt;=R$12,V$12,C10&lt;=R$13,V$13,C10&lt;=R$14,V$14,C10&lt;=R$15,V$15,C10&lt;=R$16,V$16,C10&lt;=R$17,V$17,C10&lt;=R$18,V$18,C10&lt;=R$19,V$19,C10&lt;=R$20,V$20,C10&lt;=R$21,V$21,C10&lt;=R$22,V$22,C10&lt;=R$23,V$23,C10&lt;=R$24,V$24,C10&lt;=R$25,V$25,C10&lt;=R$26,V$26,C10&lt;=R$27,V$27,C10&lt;=R$28,V$28,C10&lt;=R$29,V$29,C10&lt;=R$30,V$30,C10&lt;=R$31,V$31,C10&lt;=R$32,V$32)</f>
        <v>688600</v>
      </c>
      <c r="P10">
        <v>0</v>
      </c>
      <c r="Q10">
        <f t="shared" si="1"/>
        <v>0.85</v>
      </c>
      <c r="R10">
        <v>7</v>
      </c>
      <c r="S10">
        <v>85000</v>
      </c>
      <c r="T10">
        <f>COUNTIF(C:C,"&lt;="&amp;R10)</f>
        <v>16</v>
      </c>
      <c r="U10">
        <f t="shared" si="3"/>
        <v>1</v>
      </c>
      <c r="V10">
        <f t="shared" si="2"/>
        <v>85000</v>
      </c>
      <c r="X10" t="e">
        <f>X8*X6</f>
        <v>#DIV/0!</v>
      </c>
    </row>
    <row r="11" spans="1:24">
      <c r="A11">
        <v>10</v>
      </c>
      <c r="B11">
        <v>0.9</v>
      </c>
      <c r="C11">
        <v>1</v>
      </c>
      <c r="D11">
        <v>200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f t="shared" si="0"/>
        <v>200</v>
      </c>
      <c r="O11">
        <f>_xlfn.IFS(C11&lt;=R$3,V$3,C11&lt;=R$4,V$4,C11&lt;=R$5,V$5,C11&lt;=R$6,V$6,C11&lt;=R$7,V$7,C11&lt;=R$8,V$8,C11&lt;=R$9,V$9,C11&lt;=R$10,V$10,C11&lt;=R$11,V$11,C11&lt;=R$12,V$12,C11&lt;=R$13,V$13,C11&lt;=R$14,V$14,C11&lt;=R$15,V$15,C11&lt;=R$16,V$16,C11&lt;=R$17,V$17,C11&lt;=R$18,V$18,C11&lt;=R$19,V$19,C11&lt;=R$20,V$20,C11&lt;=R$21,V$21,C11&lt;=R$22,V$22,C11&lt;=R$23,V$23,C11&lt;=R$24,V$24,C11&lt;=R$25,V$25,C11&lt;=R$26,V$26,C11&lt;=R$27,V$27,C11&lt;=R$28,V$28,C11&lt;=R$29,V$29,C11&lt;=R$30,V$30,C11&lt;=R$31,V$31,C11&lt;=R$32,V$32)</f>
        <v>688600</v>
      </c>
      <c r="P11">
        <f t="shared" si="4"/>
        <v>0</v>
      </c>
      <c r="Q11">
        <f t="shared" si="1"/>
        <v>0.95</v>
      </c>
      <c r="R11">
        <v>8</v>
      </c>
      <c r="S11">
        <v>130000</v>
      </c>
      <c r="T11">
        <f>COUNTIF(C:C,"&lt;="&amp;R11)</f>
        <v>17</v>
      </c>
      <c r="U11">
        <f t="shared" si="3"/>
        <v>1</v>
      </c>
      <c r="V11">
        <f t="shared" si="2"/>
        <v>130000</v>
      </c>
      <c r="X11" t="s">
        <v>23</v>
      </c>
    </row>
    <row r="12" spans="1:24">
      <c r="A12">
        <v>11</v>
      </c>
      <c r="B12">
        <v>1</v>
      </c>
      <c r="C12">
        <v>2</v>
      </c>
      <c r="D12">
        <v>200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 t="shared" si="0"/>
        <v>200</v>
      </c>
      <c r="O12">
        <f>_xlfn.IFS(C12&lt;=R$3,V$3,C12&lt;=R$4,V$4,C12&lt;=R$5,V$5,C12&lt;=R$6,V$6,C12&lt;=R$7,V$7,C12&lt;=R$8,V$8,C12&lt;=R$9,V$9,C12&lt;=R$10,V$10,C12&lt;=R$11,V$11,C12&lt;=R$12,V$12,C12&lt;=R$13,V$13,C12&lt;=R$14,V$14,C12&lt;=R$15,V$15,C12&lt;=R$16,V$16,C12&lt;=R$17,V$17,C12&lt;=R$18,V$18,C12&lt;=R$19,V$19,C12&lt;=R$20,V$20,C12&lt;=R$21,V$21,C12&lt;=R$22,V$22,C12&lt;=R$23,V$23,C12&lt;=R$24,V$24,C12&lt;=R$25,V$25,C12&lt;=R$26,V$26,C12&lt;=R$27,V$27,C12&lt;=R$28,V$28,C12&lt;=R$29,V$29,C12&lt;=R$30,V$30,C12&lt;=R$31,V$31,C12&lt;=R$32,V$32)</f>
        <v>1630000</v>
      </c>
      <c r="P12">
        <f t="shared" si="4"/>
        <v>0</v>
      </c>
      <c r="Q12">
        <f t="shared" si="1"/>
        <v>1.5</v>
      </c>
      <c r="R12">
        <v>9</v>
      </c>
      <c r="S12">
        <v>54000</v>
      </c>
      <c r="T12">
        <f>COUNTIF(C:C,"&lt;="&amp;R12)</f>
        <v>18</v>
      </c>
      <c r="U12">
        <f t="shared" si="3"/>
        <v>1</v>
      </c>
      <c r="V12">
        <f t="shared" si="2"/>
        <v>54000</v>
      </c>
      <c r="X12" t="e">
        <f>0.96-X10</f>
        <v>#DIV/0!</v>
      </c>
    </row>
    <row r="13" spans="1:22">
      <c r="A13">
        <v>12</v>
      </c>
      <c r="B13">
        <v>2</v>
      </c>
      <c r="C13">
        <v>3</v>
      </c>
      <c r="D13">
        <v>200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f t="shared" si="0"/>
        <v>200</v>
      </c>
      <c r="O13">
        <f>_xlfn.IFS(C13&lt;=R$3,V$3,C13&lt;=R$4,V$4,C13&lt;=R$5,V$5,C13&lt;=R$6,V$6,C13&lt;=R$7,V$7,C13&lt;=R$8,V$8,C13&lt;=R$9,V$9,C13&lt;=R$10,V$10,C13&lt;=R$11,V$11,C13&lt;=R$12,V$12,C13&lt;=R$13,V$13,C13&lt;=R$14,V$14,C13&lt;=R$15,V$15,C13&lt;=R$16,V$16,C13&lt;=R$17,V$17,C13&lt;=R$18,V$18,C13&lt;=R$19,V$19,C13&lt;=R$20,V$20,C13&lt;=R$21,V$21,C13&lt;=R$22,V$22,C13&lt;=R$23,V$23,C13&lt;=R$24,V$24,C13&lt;=R$25,V$25,C13&lt;=R$26,V$26,C13&lt;=R$27,V$27,C13&lt;=R$28,V$28,C13&lt;=R$29,V$29,C13&lt;=R$30,V$30,C13&lt;=R$31,V$31,C13&lt;=R$32,V$32)</f>
        <v>630000</v>
      </c>
      <c r="P13">
        <f t="shared" si="4"/>
        <v>0</v>
      </c>
      <c r="Q13">
        <f t="shared" si="1"/>
        <v>2.5</v>
      </c>
      <c r="R13">
        <v>10</v>
      </c>
      <c r="S13">
        <v>332000</v>
      </c>
      <c r="T13">
        <f>COUNTIF(C:C,"&lt;="&amp;R13)</f>
        <v>19</v>
      </c>
      <c r="U13">
        <f t="shared" si="3"/>
        <v>1</v>
      </c>
      <c r="V13">
        <f t="shared" si="2"/>
        <v>332000</v>
      </c>
    </row>
    <row r="14" spans="1:22">
      <c r="A14">
        <v>13</v>
      </c>
      <c r="B14">
        <v>3</v>
      </c>
      <c r="C14">
        <v>4</v>
      </c>
      <c r="D14">
        <v>200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f t="shared" si="0"/>
        <v>200</v>
      </c>
      <c r="O14">
        <f>_xlfn.IFS(C14&lt;=R$3,V$3,C14&lt;=R$4,V$4,C14&lt;=R$5,V$5,C14&lt;=R$6,V$6,C14&lt;=R$7,V$7,C14&lt;=R$8,V$8,C14&lt;=R$9,V$9,C14&lt;=R$10,V$10,C14&lt;=R$11,V$11,C14&lt;=R$12,V$12,C14&lt;=R$13,V$13,C14&lt;=R$14,V$14,C14&lt;=R$15,V$15,C14&lt;=R$16,V$16,C14&lt;=R$17,V$17,C14&lt;=R$18,V$18,C14&lt;=R$19,V$19,C14&lt;=R$20,V$20,C14&lt;=R$21,V$21,C14&lt;=R$22,V$22,C14&lt;=R$23,V$23,C14&lt;=R$24,V$24,C14&lt;=R$25,V$25,C14&lt;=R$26,V$26,C14&lt;=R$27,V$27,C14&lt;=R$28,V$28,C14&lt;=R$29,V$29,C14&lt;=R$30,V$30,C14&lt;=R$31,V$31,C14&lt;=R$32,V$32)</f>
        <v>163000</v>
      </c>
      <c r="P14">
        <f t="shared" si="4"/>
        <v>0</v>
      </c>
      <c r="Q14">
        <f t="shared" si="1"/>
        <v>3.5</v>
      </c>
      <c r="R14">
        <v>15</v>
      </c>
      <c r="S14">
        <v>418065</v>
      </c>
      <c r="T14">
        <f>COUNTIF(C:C,"&lt;="&amp;R14)</f>
        <v>20</v>
      </c>
      <c r="U14">
        <f t="shared" si="3"/>
        <v>1</v>
      </c>
      <c r="V14">
        <f t="shared" si="2"/>
        <v>418065</v>
      </c>
    </row>
    <row r="15" spans="1:22">
      <c r="A15">
        <v>14</v>
      </c>
      <c r="B15">
        <v>4</v>
      </c>
      <c r="C15">
        <v>5</v>
      </c>
      <c r="D15">
        <v>200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f t="shared" si="0"/>
        <v>200</v>
      </c>
      <c r="O15">
        <f>_xlfn.IFS(C15&lt;=R$3,V$3,C15&lt;=R$4,V$4,C15&lt;=R$5,V$5,C15&lt;=R$6,V$6,C15&lt;=R$7,V$7,C15&lt;=R$8,V$8,C15&lt;=R$9,V$9,C15&lt;=R$10,V$10,C15&lt;=R$11,V$11,C15&lt;=R$12,V$12,C15&lt;=R$13,V$13,C15&lt;=R$14,V$14,C15&lt;=R$15,V$15,C15&lt;=R$16,V$16,C15&lt;=R$17,V$17,C15&lt;=R$18,V$18,C15&lt;=R$19,V$19,C15&lt;=R$20,V$20,C15&lt;=R$21,V$21,C15&lt;=R$22,V$22,C15&lt;=R$23,V$23,C15&lt;=R$24,V$24,C15&lt;=R$25,V$25,C15&lt;=R$26,V$26,C15&lt;=R$27,V$27,C15&lt;=R$28,V$28,C15&lt;=R$29,V$29,C15&lt;=R$30,V$30,C15&lt;=R$31,V$31,C15&lt;=R$32,V$32)</f>
        <v>320000</v>
      </c>
      <c r="P15">
        <f t="shared" si="4"/>
        <v>0</v>
      </c>
      <c r="Q15">
        <f t="shared" si="1"/>
        <v>4.5</v>
      </c>
      <c r="R15">
        <v>20</v>
      </c>
      <c r="S15">
        <v>411000</v>
      </c>
      <c r="T15">
        <f>COUNTIF(C:C,"&lt;="&amp;R15)</f>
        <v>21</v>
      </c>
      <c r="U15">
        <f t="shared" si="3"/>
        <v>1</v>
      </c>
      <c r="V15">
        <f t="shared" si="2"/>
        <v>411000</v>
      </c>
    </row>
    <row r="16" spans="1:22">
      <c r="A16">
        <v>15</v>
      </c>
      <c r="B16">
        <v>5</v>
      </c>
      <c r="C16">
        <v>6</v>
      </c>
      <c r="D16">
        <v>200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 t="shared" si="0"/>
        <v>200</v>
      </c>
      <c r="O16">
        <f>_xlfn.IFS(C16&lt;=R$3,V$3,C16&lt;=R$4,V$4,C16&lt;=R$5,V$5,C16&lt;=R$6,V$6,C16&lt;=R$7,V$7,C16&lt;=R$8,V$8,C16&lt;=R$9,V$9,C16&lt;=R$10,V$10,C16&lt;=R$11,V$11,C16&lt;=R$12,V$12,C16&lt;=R$13,V$13,C16&lt;=R$14,V$14,C16&lt;=R$15,V$15,C16&lt;=R$16,V$16,C16&lt;=R$17,V$17,C16&lt;=R$18,V$18,C16&lt;=R$19,V$19,C16&lt;=R$20,V$20,C16&lt;=R$21,V$21,C16&lt;=R$22,V$22,C16&lt;=R$23,V$23,C16&lt;=R$24,V$24,C16&lt;=R$25,V$25,C16&lt;=R$26,V$26,C16&lt;=R$27,V$27,C16&lt;=R$28,V$28,C16&lt;=R$29,V$29,C16&lt;=R$30,V$30,C16&lt;=R$31,V$31,C16&lt;=R$32,V$32)</f>
        <v>44500</v>
      </c>
      <c r="P16">
        <f t="shared" si="4"/>
        <v>0</v>
      </c>
      <c r="Q16">
        <f t="shared" si="1"/>
        <v>5.5</v>
      </c>
      <c r="R16">
        <v>30</v>
      </c>
      <c r="S16">
        <v>409059</v>
      </c>
      <c r="T16">
        <f>COUNTIF(C:C,"&lt;="&amp;R16)</f>
        <v>22</v>
      </c>
      <c r="U16">
        <f t="shared" si="3"/>
        <v>1</v>
      </c>
      <c r="V16">
        <f t="shared" si="2"/>
        <v>409059</v>
      </c>
    </row>
    <row r="17" spans="1:22">
      <c r="A17">
        <v>16</v>
      </c>
      <c r="B17">
        <v>6</v>
      </c>
      <c r="C17">
        <v>7</v>
      </c>
      <c r="D17">
        <v>200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f t="shared" si="0"/>
        <v>200</v>
      </c>
      <c r="O17">
        <f>_xlfn.IFS(C17&lt;=R$3,V$3,C17&lt;=R$4,V$4,C17&lt;=R$5,V$5,C17&lt;=R$6,V$6,C17&lt;=R$7,V$7,C17&lt;=R$8,V$8,C17&lt;=R$9,V$9,C17&lt;=R$10,V$10,C17&lt;=R$11,V$11,C17&lt;=R$12,V$12,C17&lt;=R$13,V$13,C17&lt;=R$14,V$14,C17&lt;=R$15,V$15,C17&lt;=R$16,V$16,C17&lt;=R$17,V$17,C17&lt;=R$18,V$18,C17&lt;=R$19,V$19,C17&lt;=R$20,V$20,C17&lt;=R$21,V$21,C17&lt;=R$22,V$22,C17&lt;=R$23,V$23,C17&lt;=R$24,V$24,C17&lt;=R$25,V$25,C17&lt;=R$26,V$26,C17&lt;=R$27,V$27,C17&lt;=R$28,V$28,C17&lt;=R$29,V$29,C17&lt;=R$30,V$30,C17&lt;=R$31,V$31,C17&lt;=R$32,V$32)</f>
        <v>85000</v>
      </c>
      <c r="P17">
        <f t="shared" si="4"/>
        <v>0</v>
      </c>
      <c r="Q17">
        <f t="shared" si="1"/>
        <v>6.5</v>
      </c>
      <c r="R17">
        <v>40</v>
      </c>
      <c r="S17">
        <v>182000</v>
      </c>
      <c r="T17">
        <f>COUNTIF(C:C,"&lt;="&amp;R17)</f>
        <v>23</v>
      </c>
      <c r="U17">
        <f t="shared" si="3"/>
        <v>1</v>
      </c>
      <c r="V17">
        <f t="shared" si="2"/>
        <v>182000</v>
      </c>
    </row>
    <row r="18" spans="1:22">
      <c r="A18">
        <v>17</v>
      </c>
      <c r="B18">
        <v>7</v>
      </c>
      <c r="C18">
        <v>8</v>
      </c>
      <c r="D18">
        <v>200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f t="shared" si="0"/>
        <v>200</v>
      </c>
      <c r="O18">
        <f>_xlfn.IFS(C18&lt;=R$3,V$3,C18&lt;=R$4,V$4,C18&lt;=R$5,V$5,C18&lt;=R$6,V$6,C18&lt;=R$7,V$7,C18&lt;=R$8,V$8,C18&lt;=R$9,V$9,C18&lt;=R$10,V$10,C18&lt;=R$11,V$11,C18&lt;=R$12,V$12,C18&lt;=R$13,V$13,C18&lt;=R$14,V$14,C18&lt;=R$15,V$15,C18&lt;=R$16,V$16,C18&lt;=R$17,V$17,C18&lt;=R$18,V$18,C18&lt;=R$19,V$19,C18&lt;=R$20,V$20,C18&lt;=R$21,V$21,C18&lt;=R$22,V$22,C18&lt;=R$23,V$23,C18&lt;=R$24,V$24,C18&lt;=R$25,V$25,C18&lt;=R$26,V$26,C18&lt;=R$27,V$27,C18&lt;=R$28,V$28,C18&lt;=R$29,V$29,C18&lt;=R$30,V$30,C18&lt;=R$31,V$31,C18&lt;=R$32,V$32)</f>
        <v>130000</v>
      </c>
      <c r="P18">
        <f t="shared" si="4"/>
        <v>0</v>
      </c>
      <c r="Q18">
        <f t="shared" si="1"/>
        <v>7.5</v>
      </c>
      <c r="R18">
        <v>50</v>
      </c>
      <c r="S18">
        <v>86018</v>
      </c>
      <c r="T18">
        <f>COUNTIF(C:C,"&lt;="&amp;R18)</f>
        <v>24</v>
      </c>
      <c r="U18">
        <f t="shared" si="3"/>
        <v>1</v>
      </c>
      <c r="V18">
        <f t="shared" si="2"/>
        <v>86018</v>
      </c>
    </row>
    <row r="19" spans="1:22">
      <c r="A19">
        <v>18</v>
      </c>
      <c r="B19">
        <v>8</v>
      </c>
      <c r="C19">
        <v>9</v>
      </c>
      <c r="D19">
        <v>200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f t="shared" si="0"/>
        <v>200</v>
      </c>
      <c r="O19">
        <f>_xlfn.IFS(C19&lt;=R$3,V$3,C19&lt;=R$4,V$4,C19&lt;=R$5,V$5,C19&lt;=R$6,V$6,C19&lt;=R$7,V$7,C19&lt;=R$8,V$8,C19&lt;=R$9,V$9,C19&lt;=R$10,V$10,C19&lt;=R$11,V$11,C19&lt;=R$12,V$12,C19&lt;=R$13,V$13,C19&lt;=R$14,V$14,C19&lt;=R$15,V$15,C19&lt;=R$16,V$16,C19&lt;=R$17,V$17,C19&lt;=R$18,V$18,C19&lt;=R$19,V$19,C19&lt;=R$20,V$20,C19&lt;=R$21,V$21,C19&lt;=R$22,V$22,C19&lt;=R$23,V$23,C19&lt;=R$24,V$24,C19&lt;=R$25,V$25,C19&lt;=R$26,V$26,C19&lt;=R$27,V$27,C19&lt;=R$28,V$28,C19&lt;=R$29,V$29,C19&lt;=R$30,V$30,C19&lt;=R$31,V$31,C19&lt;=R$32,V$32)</f>
        <v>54000</v>
      </c>
      <c r="P19">
        <f t="shared" si="4"/>
        <v>0</v>
      </c>
      <c r="Q19">
        <f t="shared" si="1"/>
        <v>8.5</v>
      </c>
      <c r="R19">
        <v>60</v>
      </c>
      <c r="S19">
        <v>67005</v>
      </c>
      <c r="T19">
        <f>COUNTIF(C:C,"&lt;="&amp;R19)</f>
        <v>24</v>
      </c>
      <c r="U19">
        <f t="shared" si="3"/>
        <v>0</v>
      </c>
      <c r="V19" t="e">
        <f t="shared" si="2"/>
        <v>#DIV/0!</v>
      </c>
    </row>
    <row r="20" spans="1:22">
      <c r="A20">
        <v>19</v>
      </c>
      <c r="B20">
        <v>9</v>
      </c>
      <c r="C20">
        <v>10</v>
      </c>
      <c r="D20">
        <v>200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f t="shared" si="0"/>
        <v>200</v>
      </c>
      <c r="O20">
        <f>_xlfn.IFS(C20&lt;=R$3,V$3,C20&lt;=R$4,V$4,C20&lt;=R$5,V$5,C20&lt;=R$6,V$6,C20&lt;=R$7,V$7,C20&lt;=R$8,V$8,C20&lt;=R$9,V$9,C20&lt;=R$10,V$10,C20&lt;=R$11,V$11,C20&lt;=R$12,V$12,C20&lt;=R$13,V$13,C20&lt;=R$14,V$14,C20&lt;=R$15,V$15,C20&lt;=R$16,V$16,C20&lt;=R$17,V$17,C20&lt;=R$18,V$18,C20&lt;=R$19,V$19,C20&lt;=R$20,V$20,C20&lt;=R$21,V$21,C20&lt;=R$22,V$22,C20&lt;=R$23,V$23,C20&lt;=R$24,V$24,C20&lt;=R$25,V$25,C20&lt;=R$26,V$26,C20&lt;=R$27,V$27,C20&lt;=R$28,V$28,C20&lt;=R$29,V$29,C20&lt;=R$30,V$30,C20&lt;=R$31,V$31,C20&lt;=R$32,V$32)</f>
        <v>332000</v>
      </c>
      <c r="P20">
        <f t="shared" si="4"/>
        <v>0</v>
      </c>
      <c r="Q20">
        <f t="shared" si="1"/>
        <v>9.5</v>
      </c>
      <c r="R20">
        <v>70</v>
      </c>
      <c r="S20">
        <v>46024</v>
      </c>
      <c r="T20">
        <f>COUNTIF(C:C,"&lt;="&amp;R20)</f>
        <v>24</v>
      </c>
      <c r="U20">
        <f t="shared" si="3"/>
        <v>0</v>
      </c>
      <c r="V20" t="e">
        <f t="shared" si="2"/>
        <v>#DIV/0!</v>
      </c>
    </row>
    <row r="21" spans="1:22">
      <c r="A21">
        <v>20</v>
      </c>
      <c r="B21">
        <v>10</v>
      </c>
      <c r="C21">
        <v>15</v>
      </c>
      <c r="D21">
        <v>150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f t="shared" si="0"/>
        <v>150</v>
      </c>
      <c r="O21">
        <f>_xlfn.IFS(C21&lt;=R$3,V$3,C21&lt;=R$4,V$4,C21&lt;=R$5,V$5,C21&lt;=R$6,V$6,C21&lt;=R$7,V$7,C21&lt;=R$8,V$8,C21&lt;=R$9,V$9,C21&lt;=R$10,V$10,C21&lt;=R$11,V$11,C21&lt;=R$12,V$12,C21&lt;=R$13,V$13,C21&lt;=R$14,V$14,C21&lt;=R$15,V$15,C21&lt;=R$16,V$16,C21&lt;=R$17,V$17,C21&lt;=R$18,V$18,C21&lt;=R$19,V$19,C21&lt;=R$20,V$20,C21&lt;=R$21,V$21,C21&lt;=R$22,V$22,C21&lt;=R$23,V$23,C21&lt;=R$24,V$24,C21&lt;=R$25,V$25,C21&lt;=R$26,V$26,C21&lt;=R$27,V$27,C21&lt;=R$28,V$28,C21&lt;=R$29,V$29,C21&lt;=R$30,V$30,C21&lt;=R$31,V$31,C21&lt;=R$32,V$32)</f>
        <v>418065</v>
      </c>
      <c r="P21">
        <f t="shared" si="4"/>
        <v>0</v>
      </c>
      <c r="Q21">
        <f t="shared" si="1"/>
        <v>12.5</v>
      </c>
      <c r="R21">
        <v>80</v>
      </c>
      <c r="S21">
        <v>23015</v>
      </c>
      <c r="T21">
        <f>COUNTIF(C:C,"&lt;="&amp;R21)</f>
        <v>24</v>
      </c>
      <c r="U21">
        <f t="shared" si="3"/>
        <v>0</v>
      </c>
      <c r="V21" t="e">
        <f t="shared" si="2"/>
        <v>#DIV/0!</v>
      </c>
    </row>
    <row r="22" spans="1:22">
      <c r="A22">
        <v>21</v>
      </c>
      <c r="B22">
        <v>15</v>
      </c>
      <c r="C22">
        <v>20</v>
      </c>
      <c r="D22">
        <v>120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 t="shared" si="0"/>
        <v>120</v>
      </c>
      <c r="O22">
        <f>_xlfn.IFS(C22&lt;=R$3,V$3,C22&lt;=R$4,V$4,C22&lt;=R$5,V$5,C22&lt;=R$6,V$6,C22&lt;=R$7,V$7,C22&lt;=R$8,V$8,C22&lt;=R$9,V$9,C22&lt;=R$10,V$10,C22&lt;=R$11,V$11,C22&lt;=R$12,V$12,C22&lt;=R$13,V$13,C22&lt;=R$14,V$14,C22&lt;=R$15,V$15,C22&lt;=R$16,V$16,C22&lt;=R$17,V$17,C22&lt;=R$18,V$18,C22&lt;=R$19,V$19,C22&lt;=R$20,V$20,C22&lt;=R$21,V$21,C22&lt;=R$22,V$22,C22&lt;=R$23,V$23,C22&lt;=R$24,V$24,C22&lt;=R$25,V$25,C22&lt;=R$26,V$26,C22&lt;=R$27,V$27,C22&lt;=R$28,V$28,C22&lt;=R$29,V$29,C22&lt;=R$30,V$30,C22&lt;=R$31,V$31,C22&lt;=R$32,V$32)</f>
        <v>411000</v>
      </c>
      <c r="P22">
        <f t="shared" si="4"/>
        <v>0</v>
      </c>
      <c r="Q22">
        <f t="shared" si="1"/>
        <v>17.5</v>
      </c>
      <c r="R22">
        <v>90</v>
      </c>
      <c r="S22">
        <v>10014</v>
      </c>
      <c r="T22">
        <f>COUNTIF(C:C,"&lt;="&amp;R22)</f>
        <v>24</v>
      </c>
      <c r="U22">
        <f t="shared" si="3"/>
        <v>0</v>
      </c>
      <c r="V22" t="e">
        <f t="shared" si="2"/>
        <v>#DIV/0!</v>
      </c>
    </row>
    <row r="23" spans="1:22">
      <c r="A23">
        <v>22</v>
      </c>
      <c r="B23">
        <v>20</v>
      </c>
      <c r="C23">
        <v>30</v>
      </c>
      <c r="D23">
        <v>100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f t="shared" si="0"/>
        <v>100</v>
      </c>
      <c r="O23">
        <f>_xlfn.IFS(C23&lt;=R$3,V$3,C23&lt;=R$4,V$4,C23&lt;=R$5,V$5,C23&lt;=R$6,V$6,C23&lt;=R$7,V$7,C23&lt;=R$8,V$8,C23&lt;=R$9,V$9,C23&lt;=R$10,V$10,C23&lt;=R$11,V$11,C23&lt;=R$12,V$12,C23&lt;=R$13,V$13,C23&lt;=R$14,V$14,C23&lt;=R$15,V$15,C23&lt;=R$16,V$16,C23&lt;=R$17,V$17,C23&lt;=R$18,V$18,C23&lt;=R$19,V$19,C23&lt;=R$20,V$20,C23&lt;=R$21,V$21,C23&lt;=R$22,V$22,C23&lt;=R$23,V$23,C23&lt;=R$24,V$24,C23&lt;=R$25,V$25,C23&lt;=R$26,V$26,C23&lt;=R$27,V$27,C23&lt;=R$28,V$28,C23&lt;=R$29,V$29,C23&lt;=R$30,V$30,C23&lt;=R$31,V$31,C23&lt;=R$32,V$32)</f>
        <v>409059</v>
      </c>
      <c r="P23">
        <f t="shared" si="4"/>
        <v>0</v>
      </c>
      <c r="Q23">
        <f t="shared" si="1"/>
        <v>25</v>
      </c>
      <c r="R23">
        <v>100</v>
      </c>
      <c r="S23">
        <v>5012</v>
      </c>
      <c r="T23">
        <f>COUNTIF(C:C,"&lt;="&amp;R23)</f>
        <v>25</v>
      </c>
      <c r="U23">
        <f t="shared" si="3"/>
        <v>1</v>
      </c>
      <c r="V23">
        <f t="shared" si="2"/>
        <v>5012</v>
      </c>
    </row>
    <row r="24" spans="1:22">
      <c r="A24">
        <v>23</v>
      </c>
      <c r="B24">
        <v>30</v>
      </c>
      <c r="C24">
        <v>40</v>
      </c>
      <c r="D24">
        <v>90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 t="shared" si="0"/>
        <v>90</v>
      </c>
      <c r="O24">
        <f>_xlfn.IFS(C24&lt;=R$3,V$3,C24&lt;=R$4,V$4,C24&lt;=R$5,V$5,C24&lt;=R$6,V$6,C24&lt;=R$7,V$7,C24&lt;=R$8,V$8,C24&lt;=R$9,V$9,C24&lt;=R$10,V$10,C24&lt;=R$11,V$11,C24&lt;=R$12,V$12,C24&lt;=R$13,V$13,C24&lt;=R$14,V$14,C24&lt;=R$15,V$15,C24&lt;=R$16,V$16,C24&lt;=R$17,V$17,C24&lt;=R$18,V$18,C24&lt;=R$19,V$19,C24&lt;=R$20,V$20,C24&lt;=R$21,V$21,C24&lt;=R$22,V$22,C24&lt;=R$23,V$23,C24&lt;=R$24,V$24,C24&lt;=R$25,V$25,C24&lt;=R$26,V$26,C24&lt;=R$27,V$27,C24&lt;=R$28,V$28,C24&lt;=R$29,V$29,C24&lt;=R$30,V$30,C24&lt;=R$31,V$31,C24&lt;=R$32,V$32)</f>
        <v>182000</v>
      </c>
      <c r="P24">
        <f t="shared" si="4"/>
        <v>0</v>
      </c>
      <c r="Q24">
        <f t="shared" si="1"/>
        <v>35</v>
      </c>
      <c r="R24">
        <v>150</v>
      </c>
      <c r="S24">
        <v>9298</v>
      </c>
      <c r="T24">
        <f>COUNTIF(C:C,"&lt;="&amp;R24)</f>
        <v>25</v>
      </c>
      <c r="U24">
        <f t="shared" si="3"/>
        <v>0</v>
      </c>
      <c r="V24" t="e">
        <f t="shared" si="2"/>
        <v>#DIV/0!</v>
      </c>
    </row>
    <row r="25" spans="1:22">
      <c r="A25">
        <v>24</v>
      </c>
      <c r="B25">
        <v>40</v>
      </c>
      <c r="C25">
        <v>50</v>
      </c>
      <c r="D25">
        <v>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f t="shared" si="0"/>
        <v>20</v>
      </c>
      <c r="O25">
        <f>_xlfn.IFS(C25&lt;=R$3,V$3,C25&lt;=R$4,V$4,C25&lt;=R$5,V$5,C25&lt;=R$6,V$6,C25&lt;=R$7,V$7,C25&lt;=R$8,V$8,C25&lt;=R$9,V$9,C25&lt;=R$10,V$10,C25&lt;=R$11,V$11,C25&lt;=R$12,V$12,C25&lt;=R$13,V$13,C25&lt;=R$14,V$14,C25&lt;=R$15,V$15,C25&lt;=R$16,V$16,C25&lt;=R$17,V$17,C25&lt;=R$18,V$18,C25&lt;=R$19,V$19,C25&lt;=R$20,V$20,C25&lt;=R$21,V$21,C25&lt;=R$22,V$22,C25&lt;=R$23,V$23,C25&lt;=R$24,V$24,C25&lt;=R$25,V$25,C25&lt;=R$26,V$26,C25&lt;=R$27,V$27,C25&lt;=R$28,V$28,C25&lt;=R$29,V$29,C25&lt;=R$30,V$30,C25&lt;=R$31,V$31,C25&lt;=R$32,V$32)</f>
        <v>86018</v>
      </c>
      <c r="P25">
        <f t="shared" si="4"/>
        <v>0</v>
      </c>
      <c r="Q25">
        <f t="shared" si="1"/>
        <v>45</v>
      </c>
      <c r="R25">
        <v>200</v>
      </c>
      <c r="S25">
        <v>6089</v>
      </c>
      <c r="T25">
        <f>COUNTIF(C:C,"&lt;="&amp;R25)</f>
        <v>26</v>
      </c>
      <c r="U25">
        <f t="shared" si="3"/>
        <v>1</v>
      </c>
      <c r="V25">
        <f t="shared" si="2"/>
        <v>6089</v>
      </c>
    </row>
    <row r="26" spans="1:22">
      <c r="A26">
        <v>25</v>
      </c>
      <c r="B26">
        <v>50</v>
      </c>
      <c r="C26">
        <v>100</v>
      </c>
      <c r="D26">
        <v>10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f t="shared" si="0"/>
        <v>10</v>
      </c>
      <c r="O26">
        <f>_xlfn.IFS(C26&lt;=R$3,V$3,C26&lt;=R$4,V$4,C26&lt;=R$5,V$5,C26&lt;=R$6,V$6,C26&lt;=R$7,V$7,C26&lt;=R$8,V$8,C26&lt;=R$9,V$9,C26&lt;=R$10,V$10,C26&lt;=R$11,V$11,C26&lt;=R$12,V$12,C26&lt;=R$13,V$13,C26&lt;=R$14,V$14,C26&lt;=R$15,V$15,C26&lt;=R$16,V$16,C26&lt;=R$17,V$17,C26&lt;=R$18,V$18,C26&lt;=R$19,V$19,C26&lt;=R$20,V$20,C26&lt;=R$21,V$21,C26&lt;=R$22,V$22,C26&lt;=R$23,V$23,C26&lt;=R$24,V$24,C26&lt;=R$25,V$25,C26&lt;=R$26,V$26,C26&lt;=R$27,V$27,C26&lt;=R$28,V$28,C26&lt;=R$29,V$29,C26&lt;=R$30,V$30,C26&lt;=R$31,V$31,C26&lt;=R$32,V$32)</f>
        <v>5012</v>
      </c>
      <c r="P26">
        <f t="shared" si="4"/>
        <v>0</v>
      </c>
      <c r="Q26">
        <f t="shared" si="1"/>
        <v>75</v>
      </c>
      <c r="R26">
        <v>300</v>
      </c>
      <c r="S26">
        <v>224</v>
      </c>
      <c r="T26">
        <f>COUNTIF(C:C,"&lt;="&amp;R26)</f>
        <v>26</v>
      </c>
      <c r="U26">
        <f t="shared" si="3"/>
        <v>0</v>
      </c>
      <c r="V26" t="e">
        <f t="shared" si="2"/>
        <v>#DIV/0!</v>
      </c>
    </row>
    <row r="27" spans="1:22">
      <c r="A27">
        <v>26</v>
      </c>
      <c r="B27">
        <v>100</v>
      </c>
      <c r="C27">
        <v>200</v>
      </c>
      <c r="D27">
        <v>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f t="shared" si="0"/>
        <v>10</v>
      </c>
      <c r="O27">
        <f>_xlfn.IFS(C27&lt;=R$3,V$3,C27&lt;=R$4,V$4,C27&lt;=R$5,V$5,C27&lt;=R$6,V$6,C27&lt;=R$7,V$7,C27&lt;=R$8,V$8,C27&lt;=R$9,V$9,C27&lt;=R$10,V$10,C27&lt;=R$11,V$11,C27&lt;=R$12,V$12,C27&lt;=R$13,V$13,C27&lt;=R$14,V$14,C27&lt;=R$15,V$15,C27&lt;=R$16,V$16,C27&lt;=R$17,V$17,C27&lt;=R$18,V$18,C27&lt;=R$19,V$19,C27&lt;=R$20,V$20,C27&lt;=R$21,V$21,C27&lt;=R$22,V$22,C27&lt;=R$23,V$23,C27&lt;=R$24,V$24,C27&lt;=R$25,V$25,C27&lt;=R$26,V$26,C27&lt;=R$27,V$27,C27&lt;=R$28,V$28,C27&lt;=R$29,V$29,C27&lt;=R$30,V$30,C27&lt;=R$31,V$31,C27&lt;=R$32,V$32)</f>
        <v>6089</v>
      </c>
      <c r="P27">
        <f t="shared" si="4"/>
        <v>0</v>
      </c>
      <c r="Q27">
        <f t="shared" si="1"/>
        <v>150</v>
      </c>
      <c r="R27">
        <v>500</v>
      </c>
      <c r="S27">
        <v>219</v>
      </c>
      <c r="T27">
        <f>COUNTIF(C:C,"&lt;="&amp;R27)</f>
        <v>27</v>
      </c>
      <c r="U27">
        <f t="shared" si="3"/>
        <v>1</v>
      </c>
      <c r="V27">
        <f t="shared" si="2"/>
        <v>219</v>
      </c>
    </row>
    <row r="28" spans="1:22">
      <c r="A28">
        <v>27</v>
      </c>
      <c r="B28">
        <v>200</v>
      </c>
      <c r="C28">
        <v>500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f t="shared" si="0"/>
        <v>5</v>
      </c>
      <c r="O28">
        <f>_xlfn.IFS(C28&lt;=R$3,V$3,C28&lt;=R$4,V$4,C28&lt;=R$5,V$5,C28&lt;=R$6,V$6,C28&lt;=R$7,V$7,C28&lt;=R$8,V$8,C28&lt;=R$9,V$9,C28&lt;=R$10,V$10,C28&lt;=R$11,V$11,C28&lt;=R$12,V$12,C28&lt;=R$13,V$13,C28&lt;=R$14,V$14,C28&lt;=R$15,V$15,C28&lt;=R$16,V$16,C28&lt;=R$17,V$17,C28&lt;=R$18,V$18,C28&lt;=R$19,V$19,C28&lt;=R$20,V$20,C28&lt;=R$21,V$21,C28&lt;=R$22,V$22,C28&lt;=R$23,V$23,C28&lt;=R$24,V$24,C28&lt;=R$25,V$25,C28&lt;=R$26,V$26,C28&lt;=R$27,V$27,C28&lt;=R$28,V$28,C28&lt;=R$29,V$29,C28&lt;=R$30,V$30,C28&lt;=R$31,V$31,C28&lt;=R$32,V$32)</f>
        <v>219</v>
      </c>
      <c r="R28">
        <v>1000</v>
      </c>
      <c r="S28">
        <v>105</v>
      </c>
      <c r="T28">
        <f>COUNTIF(C:C,"&lt;="&amp;R28)</f>
        <v>28</v>
      </c>
      <c r="U28">
        <f t="shared" si="3"/>
        <v>1</v>
      </c>
      <c r="V28">
        <f t="shared" si="2"/>
        <v>105</v>
      </c>
    </row>
    <row r="29" spans="1:22">
      <c r="A29">
        <v>28</v>
      </c>
      <c r="B29">
        <v>500</v>
      </c>
      <c r="C29">
        <v>1000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f t="shared" si="0"/>
        <v>2</v>
      </c>
      <c r="O29">
        <f>_xlfn.IFS(C29&lt;=R$3,V$3,C29&lt;=R$4,V$4,C29&lt;=R$5,V$5,C29&lt;=R$6,V$6,C29&lt;=R$7,V$7,C29&lt;=R$8,V$8,C29&lt;=R$9,V$9,C29&lt;=R$10,V$10,C29&lt;=R$11,V$11,C29&lt;=R$12,V$12,C29&lt;=R$13,V$13,C29&lt;=R$14,V$14,C29&lt;=R$15,V$15,C29&lt;=R$16,V$16,C29&lt;=R$17,V$17,C29&lt;=R$18,V$18,C29&lt;=R$19,V$19,C29&lt;=R$20,V$20,C29&lt;=R$21,V$21,C29&lt;=R$22,V$22,C29&lt;=R$23,V$23,C29&lt;=R$24,V$24,C29&lt;=R$25,V$25,C29&lt;=R$26,V$26,C29&lt;=R$27,V$27,C29&lt;=R$28,V$28,C29&lt;=R$29,V$29,C29&lt;=R$30,V$30,C29&lt;=R$31,V$31,C29&lt;=R$32,V$32)</f>
        <v>105</v>
      </c>
      <c r="R29">
        <v>2000</v>
      </c>
      <c r="S29">
        <v>152</v>
      </c>
      <c r="T29">
        <f>COUNTIF(C:C,"&lt;="&amp;R29)</f>
        <v>29</v>
      </c>
      <c r="U29">
        <f t="shared" si="3"/>
        <v>1</v>
      </c>
      <c r="V29">
        <f t="shared" si="2"/>
        <v>152</v>
      </c>
    </row>
    <row r="30" spans="1:22">
      <c r="A30">
        <v>29</v>
      </c>
      <c r="B30">
        <v>1000</v>
      </c>
      <c r="C30">
        <v>2000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f t="shared" si="0"/>
        <v>1</v>
      </c>
      <c r="O30">
        <f>_xlfn.IFS(C30&lt;=R$3,V$3,C30&lt;=R$4,V$4,C30&lt;=R$5,V$5,C30&lt;=R$6,V$6,C30&lt;=R$7,V$7,C30&lt;=R$8,V$8,C30&lt;=R$9,V$9,C30&lt;=R$10,V$10,C30&lt;=R$11,V$11,C30&lt;=R$12,V$12,C30&lt;=R$13,V$13,C30&lt;=R$14,V$14,C30&lt;=R$15,V$15,C30&lt;=R$16,V$16,C30&lt;=R$17,V$17,C30&lt;=R$18,V$18,C30&lt;=R$19,V$19,C30&lt;=R$20,V$20,C30&lt;=R$21,V$21,C30&lt;=R$22,V$22,C30&lt;=R$23,V$23,C30&lt;=R$24,V$24,C30&lt;=R$25,V$25,C30&lt;=R$26,V$26,C30&lt;=R$27,V$27,C30&lt;=R$28,V$28,C30&lt;=R$29,V$29,C30&lt;=R$30,V$30,C30&lt;=R$31,V$31,C30&lt;=R$32,V$32)</f>
        <v>152</v>
      </c>
      <c r="R30">
        <v>3000</v>
      </c>
      <c r="S30">
        <v>30</v>
      </c>
      <c r="T30">
        <f>COUNTIF(C:C,"&lt;="&amp;R30)</f>
        <v>29</v>
      </c>
      <c r="U30">
        <f t="shared" si="3"/>
        <v>0</v>
      </c>
      <c r="V30" t="e">
        <f t="shared" si="2"/>
        <v>#DIV/0!</v>
      </c>
    </row>
    <row r="31" spans="1:22">
      <c r="A31">
        <v>30</v>
      </c>
      <c r="R31">
        <v>4000</v>
      </c>
      <c r="S31">
        <v>20</v>
      </c>
      <c r="T31">
        <f>COUNTIF(C:C,"&lt;="&amp;R31)</f>
        <v>29</v>
      </c>
      <c r="U31">
        <f t="shared" si="3"/>
        <v>0</v>
      </c>
      <c r="V31" t="e">
        <f t="shared" si="2"/>
        <v>#DIV/0!</v>
      </c>
    </row>
    <row r="32" spans="1:22">
      <c r="A32">
        <v>31</v>
      </c>
      <c r="R32">
        <v>5000</v>
      </c>
      <c r="S32">
        <v>10</v>
      </c>
      <c r="T32">
        <f>COUNTIF(C:C,"&lt;="&amp;R32)</f>
        <v>29</v>
      </c>
      <c r="U32">
        <f t="shared" si="3"/>
        <v>0</v>
      </c>
      <c r="V32" t="e">
        <f t="shared" si="2"/>
        <v>#DIV/0!</v>
      </c>
    </row>
    <row r="33" customFormat="1" spans="1:1">
      <c r="A33">
        <v>32</v>
      </c>
    </row>
    <row r="34" customFormat="1" spans="1:1">
      <c r="A34">
        <v>33</v>
      </c>
    </row>
    <row r="35" customFormat="1" spans="1:1">
      <c r="A35">
        <v>34</v>
      </c>
    </row>
    <row r="36" customFormat="1" spans="1:1">
      <c r="A36">
        <v>35</v>
      </c>
    </row>
    <row r="37" customFormat="1" spans="1:1">
      <c r="A37">
        <v>36</v>
      </c>
    </row>
    <row r="38" customFormat="1" spans="1:1">
      <c r="A38">
        <v>37</v>
      </c>
    </row>
    <row r="39" customFormat="1" spans="1:1">
      <c r="A39">
        <v>38</v>
      </c>
    </row>
    <row r="40" customFormat="1" spans="1:1">
      <c r="A40">
        <v>39</v>
      </c>
    </row>
    <row r="41" customFormat="1" spans="1:1">
      <c r="A41">
        <v>40</v>
      </c>
    </row>
    <row r="42" customFormat="1" spans="1:1">
      <c r="A42">
        <v>41</v>
      </c>
    </row>
    <row r="43" customFormat="1" spans="1:1">
      <c r="A43">
        <v>42</v>
      </c>
    </row>
    <row r="44" customFormat="1" spans="1:1">
      <c r="A44">
        <v>43</v>
      </c>
    </row>
    <row r="45" customFormat="1" spans="1:1">
      <c r="A45">
        <v>44</v>
      </c>
    </row>
    <row r="46" customFormat="1" spans="1:1">
      <c r="A46">
        <v>45</v>
      </c>
    </row>
    <row r="47" customFormat="1" spans="1:1">
      <c r="A47">
        <v>46</v>
      </c>
    </row>
    <row r="48" customFormat="1" spans="1:1">
      <c r="A48">
        <v>47</v>
      </c>
    </row>
    <row r="49" customFormat="1" spans="1:1">
      <c r="A49">
        <v>48</v>
      </c>
    </row>
    <row r="50" customFormat="1" spans="1:1">
      <c r="A50">
        <v>49</v>
      </c>
    </row>
    <row r="51" customFormat="1" spans="1:1">
      <c r="A51">
        <v>50</v>
      </c>
    </row>
    <row r="52" customFormat="1" spans="1:1">
      <c r="A52">
        <v>51</v>
      </c>
    </row>
    <row r="53" customFormat="1" spans="1:1">
      <c r="A53">
        <v>52</v>
      </c>
    </row>
    <row r="54" customFormat="1" spans="1:1">
      <c r="A54">
        <v>53</v>
      </c>
    </row>
    <row r="55" customFormat="1" spans="1:1">
      <c r="A55">
        <v>54</v>
      </c>
    </row>
    <row r="56" customFormat="1" spans="1:1">
      <c r="A56">
        <v>55</v>
      </c>
    </row>
    <row r="57" customFormat="1" spans="1:1">
      <c r="A57">
        <v>56</v>
      </c>
    </row>
    <row r="58" customFormat="1" spans="1:1">
      <c r="A58">
        <v>57</v>
      </c>
    </row>
    <row r="59" customFormat="1" spans="1:1">
      <c r="A59">
        <v>58</v>
      </c>
    </row>
    <row r="60" customFormat="1" spans="1:1">
      <c r="A60">
        <v>59</v>
      </c>
    </row>
    <row r="61" customFormat="1" spans="1:1">
      <c r="A61">
        <v>60</v>
      </c>
    </row>
    <row r="62" customFormat="1" spans="1:1">
      <c r="A62">
        <v>61</v>
      </c>
    </row>
    <row r="63" customFormat="1" spans="1:1">
      <c r="A63">
        <v>62</v>
      </c>
    </row>
    <row r="64" customFormat="1" spans="1:1">
      <c r="A64">
        <v>63</v>
      </c>
    </row>
    <row r="65" customFormat="1" spans="1:1">
      <c r="A65">
        <v>64</v>
      </c>
    </row>
    <row r="66" customFormat="1" spans="1:1">
      <c r="A66">
        <v>65</v>
      </c>
    </row>
    <row r="67" customFormat="1" spans="1:1">
      <c r="A67">
        <v>66</v>
      </c>
    </row>
    <row r="68" customFormat="1" spans="1:1">
      <c r="A68">
        <v>67</v>
      </c>
    </row>
    <row r="69" customFormat="1" spans="1:1">
      <c r="A69">
        <v>68</v>
      </c>
    </row>
    <row r="70" customFormat="1" spans="1:1">
      <c r="A70">
        <v>69</v>
      </c>
    </row>
    <row r="71" customFormat="1" spans="1:1">
      <c r="A71">
        <v>70</v>
      </c>
    </row>
    <row r="72" customFormat="1" spans="1:1">
      <c r="A72">
        <v>71</v>
      </c>
    </row>
    <row r="73" customFormat="1" spans="1:1">
      <c r="A73">
        <v>72</v>
      </c>
    </row>
    <row r="74" customFormat="1" spans="1:1">
      <c r="A74">
        <v>73</v>
      </c>
    </row>
    <row r="75" customFormat="1" spans="1:1">
      <c r="A75">
        <v>74</v>
      </c>
    </row>
    <row r="76" customFormat="1" spans="1:1">
      <c r="A76">
        <v>75</v>
      </c>
    </row>
    <row r="77" customFormat="1" spans="1:1">
      <c r="A77">
        <v>76</v>
      </c>
    </row>
    <row r="78" customFormat="1" spans="1:1">
      <c r="A78">
        <v>77</v>
      </c>
    </row>
    <row r="79" customFormat="1" spans="1:1">
      <c r="A79">
        <v>78</v>
      </c>
    </row>
    <row r="80" customFormat="1" spans="1:1">
      <c r="A80">
        <v>79</v>
      </c>
    </row>
    <row r="81" customFormat="1" spans="1:1">
      <c r="A81">
        <v>80</v>
      </c>
    </row>
    <row r="82" customFormat="1" spans="1:1">
      <c r="A82">
        <v>81</v>
      </c>
    </row>
    <row r="83" customFormat="1" spans="1:1">
      <c r="A83">
        <v>82</v>
      </c>
    </row>
    <row r="84" customFormat="1" spans="1:1">
      <c r="A84">
        <v>83</v>
      </c>
    </row>
    <row r="85" customFormat="1" spans="1:1">
      <c r="A85">
        <v>84</v>
      </c>
    </row>
    <row r="86" customFormat="1" spans="1:1">
      <c r="A86">
        <v>85</v>
      </c>
    </row>
    <row r="87" customFormat="1" spans="1:1">
      <c r="A87">
        <v>86</v>
      </c>
    </row>
    <row r="88" customFormat="1" spans="1:1">
      <c r="A88">
        <v>87</v>
      </c>
    </row>
    <row r="89" customFormat="1" spans="1:1">
      <c r="A89">
        <v>88</v>
      </c>
    </row>
    <row r="90" customFormat="1" spans="1:1">
      <c r="A90">
        <v>89</v>
      </c>
    </row>
    <row r="91" customFormat="1" spans="1:1">
      <c r="A91">
        <v>90</v>
      </c>
    </row>
    <row r="92" customFormat="1" spans="1:1">
      <c r="A92">
        <v>91</v>
      </c>
    </row>
    <row r="93" customFormat="1" spans="1:1">
      <c r="A93">
        <v>92</v>
      </c>
    </row>
    <row r="94" customFormat="1" spans="1:1">
      <c r="A94">
        <v>93</v>
      </c>
    </row>
    <row r="95" customFormat="1" spans="1:1">
      <c r="A95">
        <v>94</v>
      </c>
    </row>
    <row r="96" customFormat="1" spans="1:1">
      <c r="A96">
        <v>95</v>
      </c>
    </row>
    <row r="97" customFormat="1" spans="1:1">
      <c r="A97">
        <v>96</v>
      </c>
    </row>
    <row r="98" customFormat="1" spans="1:1">
      <c r="A98">
        <v>97</v>
      </c>
    </row>
    <row r="99" customFormat="1" spans="1:1">
      <c r="A99">
        <v>98</v>
      </c>
    </row>
    <row r="100" customFormat="1" spans="1:1">
      <c r="A100">
        <v>99</v>
      </c>
    </row>
    <row r="101" customFormat="1" spans="1:1">
      <c r="A101">
        <v>100</v>
      </c>
    </row>
    <row r="102" customFormat="1" spans="1:1">
      <c r="A102">
        <v>101</v>
      </c>
    </row>
    <row r="103" customFormat="1" spans="1:1">
      <c r="A103">
        <v>102</v>
      </c>
    </row>
    <row r="104" customFormat="1" spans="1:1">
      <c r="A104">
        <v>103</v>
      </c>
    </row>
    <row r="105" customFormat="1" spans="1:1">
      <c r="A105">
        <v>104</v>
      </c>
    </row>
    <row r="106" customFormat="1" spans="1:1">
      <c r="A106">
        <v>105</v>
      </c>
    </row>
    <row r="107" customFormat="1" spans="1:1">
      <c r="A107">
        <v>106</v>
      </c>
    </row>
    <row r="108" customFormat="1" spans="1:1">
      <c r="A108">
        <v>107</v>
      </c>
    </row>
    <row r="109" customFormat="1" spans="1:1">
      <c r="A109">
        <v>108</v>
      </c>
    </row>
    <row r="110" customFormat="1" spans="1:1">
      <c r="A110">
        <v>109</v>
      </c>
    </row>
    <row r="111" customFormat="1" spans="1:1">
      <c r="A111">
        <v>110</v>
      </c>
    </row>
    <row r="112" customFormat="1" spans="1:1">
      <c r="A112">
        <v>111</v>
      </c>
    </row>
    <row r="113" customFormat="1" spans="1:1">
      <c r="A113">
        <v>112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K47" sqref="K47"/>
    </sheetView>
  </sheetViews>
  <sheetFormatPr defaultColWidth="8.88888888888889" defaultRowHeight="13.8" outlineLevelCol="4"/>
  <cols>
    <col min="1" max="1" width="9"/>
    <col min="2" max="2" width="9.44444444444444" customWidth="1"/>
    <col min="3" max="3" width="9.22222222222222" customWidth="1"/>
    <col min="4" max="5" width="16.6666666666667" customWidth="1"/>
  </cols>
  <sheetData>
    <row r="1" spans="1:5">
      <c r="A1" s="5" t="s">
        <v>0</v>
      </c>
      <c r="B1" s="5" t="s">
        <v>24</v>
      </c>
      <c r="C1" s="5" t="s">
        <v>25</v>
      </c>
      <c r="D1" s="5" t="s">
        <v>4</v>
      </c>
      <c r="E1" s="5" t="s">
        <v>13</v>
      </c>
    </row>
    <row r="2" spans="1:5">
      <c r="A2">
        <v>1</v>
      </c>
      <c r="B2">
        <v>0</v>
      </c>
      <c r="C2">
        <v>2</v>
      </c>
      <c r="D2">
        <v>30</v>
      </c>
      <c r="E2">
        <f t="shared" ref="E2:E28" si="0">SUM(D2:D2)</f>
        <v>30</v>
      </c>
    </row>
    <row r="3" spans="1:5">
      <c r="A3">
        <v>2</v>
      </c>
      <c r="B3">
        <v>2</v>
      </c>
      <c r="C3">
        <v>4</v>
      </c>
      <c r="D3">
        <v>30</v>
      </c>
      <c r="E3">
        <f t="shared" si="0"/>
        <v>30</v>
      </c>
    </row>
    <row r="4" spans="1:5">
      <c r="A4">
        <v>3</v>
      </c>
      <c r="B4">
        <v>4</v>
      </c>
      <c r="C4">
        <v>6</v>
      </c>
      <c r="D4">
        <v>30</v>
      </c>
      <c r="E4">
        <f t="shared" si="0"/>
        <v>30</v>
      </c>
    </row>
    <row r="5" spans="1:5">
      <c r="A5">
        <v>4</v>
      </c>
      <c r="B5">
        <v>6</v>
      </c>
      <c r="C5">
        <v>8</v>
      </c>
      <c r="D5">
        <v>30</v>
      </c>
      <c r="E5">
        <f t="shared" si="0"/>
        <v>30</v>
      </c>
    </row>
    <row r="6" spans="1:5">
      <c r="A6">
        <v>5</v>
      </c>
      <c r="B6">
        <v>8</v>
      </c>
      <c r="C6">
        <v>10</v>
      </c>
      <c r="D6">
        <v>30</v>
      </c>
      <c r="E6">
        <f t="shared" si="0"/>
        <v>30</v>
      </c>
    </row>
    <row r="7" spans="1:5">
      <c r="A7">
        <v>6</v>
      </c>
      <c r="B7">
        <v>10</v>
      </c>
      <c r="C7">
        <v>15</v>
      </c>
      <c r="D7">
        <v>100</v>
      </c>
      <c r="E7">
        <f t="shared" si="0"/>
        <v>100</v>
      </c>
    </row>
    <row r="8" spans="1:5">
      <c r="A8">
        <v>7</v>
      </c>
      <c r="B8">
        <v>15</v>
      </c>
      <c r="C8">
        <v>20</v>
      </c>
      <c r="D8">
        <v>100</v>
      </c>
      <c r="E8">
        <f t="shared" si="0"/>
        <v>100</v>
      </c>
    </row>
    <row r="9" spans="1:5">
      <c r="A9">
        <v>8</v>
      </c>
      <c r="B9">
        <v>20</v>
      </c>
      <c r="C9">
        <v>25</v>
      </c>
      <c r="D9">
        <v>100</v>
      </c>
      <c r="E9">
        <f t="shared" si="0"/>
        <v>100</v>
      </c>
    </row>
    <row r="10" spans="1:5">
      <c r="A10">
        <v>9</v>
      </c>
      <c r="B10">
        <v>25</v>
      </c>
      <c r="C10">
        <v>30</v>
      </c>
      <c r="D10">
        <v>100</v>
      </c>
      <c r="E10">
        <f t="shared" si="0"/>
        <v>100</v>
      </c>
    </row>
    <row r="11" spans="1:5">
      <c r="A11">
        <v>10</v>
      </c>
      <c r="B11">
        <v>30</v>
      </c>
      <c r="C11">
        <v>35</v>
      </c>
      <c r="D11">
        <v>50</v>
      </c>
      <c r="E11">
        <f t="shared" si="0"/>
        <v>50</v>
      </c>
    </row>
    <row r="12" spans="1:5">
      <c r="A12">
        <v>11</v>
      </c>
      <c r="B12">
        <v>35</v>
      </c>
      <c r="C12">
        <v>40</v>
      </c>
      <c r="D12">
        <v>50</v>
      </c>
      <c r="E12">
        <f t="shared" si="0"/>
        <v>50</v>
      </c>
    </row>
    <row r="13" spans="1:5">
      <c r="A13">
        <v>12</v>
      </c>
      <c r="B13">
        <v>40</v>
      </c>
      <c r="C13">
        <v>45</v>
      </c>
      <c r="D13">
        <v>50</v>
      </c>
      <c r="E13">
        <f t="shared" si="0"/>
        <v>50</v>
      </c>
    </row>
    <row r="14" spans="1:5">
      <c r="A14">
        <v>13</v>
      </c>
      <c r="B14">
        <v>45</v>
      </c>
      <c r="C14">
        <v>50</v>
      </c>
      <c r="D14">
        <v>30</v>
      </c>
      <c r="E14">
        <f t="shared" si="0"/>
        <v>30</v>
      </c>
    </row>
    <row r="15" spans="1:5">
      <c r="A15">
        <v>14</v>
      </c>
      <c r="B15">
        <v>50</v>
      </c>
      <c r="C15">
        <v>55</v>
      </c>
      <c r="D15">
        <v>30</v>
      </c>
      <c r="E15">
        <f t="shared" si="0"/>
        <v>30</v>
      </c>
    </row>
    <row r="16" spans="1:5">
      <c r="A16">
        <v>15</v>
      </c>
      <c r="B16">
        <v>55</v>
      </c>
      <c r="C16">
        <v>60</v>
      </c>
      <c r="D16">
        <v>30</v>
      </c>
      <c r="E16">
        <f t="shared" si="0"/>
        <v>30</v>
      </c>
    </row>
    <row r="17" spans="1:5">
      <c r="A17">
        <v>16</v>
      </c>
      <c r="B17">
        <v>60</v>
      </c>
      <c r="C17">
        <v>65</v>
      </c>
      <c r="D17">
        <v>30</v>
      </c>
      <c r="E17">
        <f t="shared" si="0"/>
        <v>30</v>
      </c>
    </row>
    <row r="18" spans="1:5">
      <c r="A18">
        <v>17</v>
      </c>
      <c r="B18">
        <v>65</v>
      </c>
      <c r="C18">
        <v>70</v>
      </c>
      <c r="D18">
        <v>30</v>
      </c>
      <c r="E18">
        <f t="shared" si="0"/>
        <v>30</v>
      </c>
    </row>
    <row r="19" spans="1:5">
      <c r="A19">
        <v>18</v>
      </c>
      <c r="B19">
        <v>70</v>
      </c>
      <c r="C19">
        <v>75</v>
      </c>
      <c r="D19">
        <v>30</v>
      </c>
      <c r="E19">
        <f t="shared" si="0"/>
        <v>30</v>
      </c>
    </row>
    <row r="20" spans="1:5">
      <c r="A20">
        <v>19</v>
      </c>
      <c r="B20">
        <v>75</v>
      </c>
      <c r="C20">
        <v>80</v>
      </c>
      <c r="D20">
        <v>30</v>
      </c>
      <c r="E20">
        <f t="shared" si="0"/>
        <v>30</v>
      </c>
    </row>
    <row r="21" spans="1:5">
      <c r="A21">
        <v>20</v>
      </c>
      <c r="B21">
        <v>80</v>
      </c>
      <c r="C21">
        <v>85</v>
      </c>
      <c r="D21">
        <v>30</v>
      </c>
      <c r="E21">
        <f t="shared" si="0"/>
        <v>30</v>
      </c>
    </row>
    <row r="22" spans="1:5">
      <c r="A22">
        <v>21</v>
      </c>
      <c r="B22">
        <v>85</v>
      </c>
      <c r="C22">
        <v>90</v>
      </c>
      <c r="D22">
        <v>30</v>
      </c>
      <c r="E22">
        <f t="shared" si="0"/>
        <v>30</v>
      </c>
    </row>
    <row r="23" spans="1:5">
      <c r="A23">
        <v>22</v>
      </c>
      <c r="B23">
        <v>90</v>
      </c>
      <c r="C23">
        <v>95</v>
      </c>
      <c r="D23">
        <v>30</v>
      </c>
      <c r="E23">
        <f t="shared" si="0"/>
        <v>30</v>
      </c>
    </row>
    <row r="24" spans="1:5">
      <c r="A24">
        <v>23</v>
      </c>
      <c r="B24">
        <v>95</v>
      </c>
      <c r="C24">
        <v>100</v>
      </c>
      <c r="D24">
        <v>30</v>
      </c>
      <c r="E24">
        <f t="shared" si="0"/>
        <v>30</v>
      </c>
    </row>
    <row r="25" spans="1:5">
      <c r="A25">
        <v>24</v>
      </c>
      <c r="B25">
        <v>100</v>
      </c>
      <c r="C25">
        <v>150</v>
      </c>
      <c r="D25">
        <v>20</v>
      </c>
      <c r="E25">
        <f t="shared" si="0"/>
        <v>20</v>
      </c>
    </row>
    <row r="26" spans="1:5">
      <c r="A26">
        <v>25</v>
      </c>
      <c r="B26">
        <v>150</v>
      </c>
      <c r="C26">
        <v>200</v>
      </c>
      <c r="D26">
        <v>20</v>
      </c>
      <c r="E26">
        <f t="shared" si="0"/>
        <v>20</v>
      </c>
    </row>
    <row r="27" spans="1:5">
      <c r="A27">
        <v>26</v>
      </c>
      <c r="B27">
        <v>200</v>
      </c>
      <c r="C27">
        <v>500</v>
      </c>
      <c r="D27">
        <v>10</v>
      </c>
      <c r="E27">
        <f t="shared" si="0"/>
        <v>10</v>
      </c>
    </row>
    <row r="28" spans="1:5">
      <c r="A28">
        <v>27</v>
      </c>
      <c r="B28">
        <v>500</v>
      </c>
      <c r="C28">
        <v>1000</v>
      </c>
      <c r="D28">
        <v>5</v>
      </c>
      <c r="E28">
        <f t="shared" si="0"/>
        <v>5</v>
      </c>
    </row>
    <row r="29" spans="1:5">
      <c r="A29">
        <v>28</v>
      </c>
      <c r="B29">
        <v>1000</v>
      </c>
      <c r="C29">
        <v>2000</v>
      </c>
      <c r="D29">
        <v>3</v>
      </c>
      <c r="E29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E42" sqref="E42"/>
    </sheetView>
  </sheetViews>
  <sheetFormatPr defaultColWidth="9" defaultRowHeight="13.8" outlineLevelCol="2"/>
  <sheetData>
    <row r="1" spans="1:3">
      <c r="A1" s="5" t="s">
        <v>0</v>
      </c>
      <c r="B1" s="5" t="s">
        <v>24</v>
      </c>
      <c r="C1" s="5" t="s">
        <v>25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S23" sqref="S23"/>
    </sheetView>
  </sheetViews>
  <sheetFormatPr defaultColWidth="9" defaultRowHeight="13.8" outlineLevelCol="4"/>
  <cols>
    <col min="1" max="1" width="31.5555555555556" customWidth="1"/>
    <col min="2" max="2" width="13.4444444444444" customWidth="1"/>
    <col min="4" max="10" width="12.8888888888889"/>
  </cols>
  <sheetData>
    <row r="1" spans="1:2">
      <c r="A1" t="s">
        <v>26</v>
      </c>
      <c r="B1">
        <v>0</v>
      </c>
    </row>
    <row r="3" spans="1:2">
      <c r="A3" s="4" t="s">
        <v>27</v>
      </c>
      <c r="B3">
        <v>5</v>
      </c>
    </row>
    <row r="4" spans="1:2">
      <c r="A4" s="4" t="s">
        <v>28</v>
      </c>
      <c r="B4">
        <v>15</v>
      </c>
    </row>
    <row r="5" spans="1:2">
      <c r="A5" s="4" t="s">
        <v>29</v>
      </c>
      <c r="B5">
        <v>35</v>
      </c>
    </row>
    <row r="6" spans="1:1">
      <c r="A6" s="4"/>
    </row>
    <row r="8" spans="1:2">
      <c r="A8" s="4" t="s">
        <v>30</v>
      </c>
      <c r="B8">
        <v>80</v>
      </c>
    </row>
    <row r="9" spans="1:2">
      <c r="A9" s="4" t="s">
        <v>31</v>
      </c>
      <c r="B9">
        <v>80</v>
      </c>
    </row>
    <row r="10" spans="1:1">
      <c r="A10" s="4"/>
    </row>
    <row r="11" spans="1:2">
      <c r="A11" t="s">
        <v>32</v>
      </c>
      <c r="B11">
        <v>0.008</v>
      </c>
    </row>
    <row r="12" spans="1:1">
      <c r="A12" t="s">
        <v>33</v>
      </c>
    </row>
    <row r="13" spans="3:5">
      <c r="C13">
        <v>30</v>
      </c>
      <c r="D13">
        <f>C13/SUM(C$13:C$19)</f>
        <v>0.0526315789473684</v>
      </c>
      <c r="E13">
        <f t="shared" ref="E13:E19" si="0">POWER(D13,10)</f>
        <v>1.63103766612802e-13</v>
      </c>
    </row>
    <row r="14" spans="3:5">
      <c r="C14">
        <v>60</v>
      </c>
      <c r="D14">
        <f t="shared" ref="D14:D19" si="1">C14/SUM(C$13:C$19)</f>
        <v>0.105263157894737</v>
      </c>
      <c r="E14">
        <f t="shared" si="0"/>
        <v>1.67018257011509e-10</v>
      </c>
    </row>
    <row r="15" spans="3:5">
      <c r="C15">
        <v>70</v>
      </c>
      <c r="D15">
        <f t="shared" si="1"/>
        <v>0.12280701754386</v>
      </c>
      <c r="E15">
        <f t="shared" si="0"/>
        <v>7.80246525543009e-10</v>
      </c>
    </row>
    <row r="16" spans="3:5">
      <c r="C16">
        <v>80</v>
      </c>
      <c r="D16">
        <f t="shared" si="1"/>
        <v>0.140350877192982</v>
      </c>
      <c r="E16">
        <f t="shared" si="0"/>
        <v>2.96586455086623e-9</v>
      </c>
    </row>
    <row r="17" spans="3:5">
      <c r="C17">
        <v>100</v>
      </c>
      <c r="D17">
        <f t="shared" si="1"/>
        <v>0.175438596491228</v>
      </c>
      <c r="E17">
        <f t="shared" si="0"/>
        <v>2.76217660947352e-8</v>
      </c>
    </row>
    <row r="18" spans="3:5">
      <c r="C18">
        <v>110</v>
      </c>
      <c r="D18">
        <f t="shared" si="1"/>
        <v>0.192982456140351</v>
      </c>
      <c r="E18">
        <f t="shared" si="0"/>
        <v>7.16437475428653e-8</v>
      </c>
    </row>
    <row r="19" spans="3:5">
      <c r="C19">
        <v>120</v>
      </c>
      <c r="D19">
        <f t="shared" si="1"/>
        <v>0.210526315789474</v>
      </c>
      <c r="E19">
        <f t="shared" si="0"/>
        <v>1.71026695179785e-7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9"/>
  <sheetViews>
    <sheetView workbookViewId="0">
      <selection activeCell="G31" sqref="G31"/>
    </sheetView>
  </sheetViews>
  <sheetFormatPr defaultColWidth="9" defaultRowHeight="13.8"/>
  <cols>
    <col min="2" max="15" width="9.66666666666667" style="3"/>
    <col min="16" max="16" width="9.66666666666667" style="1"/>
  </cols>
  <sheetData>
    <row r="1" spans="1:16">
      <c r="A1" t="s">
        <v>34</v>
      </c>
      <c r="B1" s="2">
        <v>96</v>
      </c>
      <c r="C1" s="2">
        <v>92</v>
      </c>
      <c r="D1" s="2">
        <v>88</v>
      </c>
      <c r="E1" s="2">
        <v>84</v>
      </c>
      <c r="F1" s="2">
        <v>80</v>
      </c>
      <c r="G1" s="1">
        <v>70</v>
      </c>
      <c r="H1" s="1">
        <v>60</v>
      </c>
      <c r="I1" s="1">
        <v>50</v>
      </c>
      <c r="J1" s="1">
        <v>40</v>
      </c>
      <c r="K1" s="1">
        <v>30</v>
      </c>
      <c r="L1" s="1">
        <v>20</v>
      </c>
      <c r="M1" s="1">
        <v>10</v>
      </c>
      <c r="N1" s="1">
        <v>1</v>
      </c>
      <c r="O1" s="1">
        <v>100</v>
      </c>
      <c r="P1">
        <v>-1</v>
      </c>
    </row>
    <row r="2" spans="1:16">
      <c r="A2" s="3">
        <v>0</v>
      </c>
      <c r="B2" s="3">
        <v>41697696</v>
      </c>
      <c r="C2" s="3">
        <v>42147692</v>
      </c>
      <c r="D2" s="3">
        <v>42147688</v>
      </c>
      <c r="E2" s="3">
        <v>42147684</v>
      </c>
      <c r="F2" s="3">
        <v>42147680</v>
      </c>
      <c r="G2" s="3">
        <v>42147670</v>
      </c>
      <c r="H2" s="3">
        <v>42147660</v>
      </c>
      <c r="I2" s="3">
        <v>42147650</v>
      </c>
      <c r="J2" s="3">
        <v>42147640</v>
      </c>
      <c r="K2" s="3">
        <v>42147630</v>
      </c>
      <c r="L2" s="3">
        <v>42147620</v>
      </c>
      <c r="M2" s="3">
        <v>42147610</v>
      </c>
      <c r="N2" s="3">
        <v>42147601</v>
      </c>
      <c r="O2" s="3">
        <v>39631100</v>
      </c>
      <c r="P2" s="1">
        <v>0</v>
      </c>
    </row>
    <row r="3" spans="1:16">
      <c r="A3" s="3">
        <v>0.3</v>
      </c>
      <c r="B3" s="3">
        <v>3686159</v>
      </c>
      <c r="C3" s="3">
        <v>3686159</v>
      </c>
      <c r="D3" s="3">
        <v>3686159</v>
      </c>
      <c r="E3" s="3">
        <v>3686159</v>
      </c>
      <c r="F3" s="3">
        <v>3686159</v>
      </c>
      <c r="G3" s="3">
        <v>3686159</v>
      </c>
      <c r="H3" s="3">
        <v>3686159</v>
      </c>
      <c r="I3" s="3">
        <v>3686159</v>
      </c>
      <c r="J3" s="3">
        <v>3686159</v>
      </c>
      <c r="K3" s="3">
        <v>3686159</v>
      </c>
      <c r="L3" s="3">
        <v>3686159</v>
      </c>
      <c r="M3" s="3">
        <v>3686159</v>
      </c>
      <c r="N3" s="3">
        <v>1086159</v>
      </c>
      <c r="O3" s="3">
        <v>3686159</v>
      </c>
      <c r="P3" s="1">
        <v>1</v>
      </c>
    </row>
    <row r="4" spans="1:16">
      <c r="A4" s="3">
        <v>0.5</v>
      </c>
      <c r="B4" s="3">
        <v>3686159</v>
      </c>
      <c r="C4" s="3">
        <v>3686159</v>
      </c>
      <c r="D4" s="3">
        <v>3686159</v>
      </c>
      <c r="E4" s="3">
        <v>3686159</v>
      </c>
      <c r="F4" s="3">
        <v>3686159</v>
      </c>
      <c r="G4" s="3">
        <v>3686159</v>
      </c>
      <c r="H4" s="3">
        <v>3686159</v>
      </c>
      <c r="I4" s="3">
        <v>3686159</v>
      </c>
      <c r="J4" s="3">
        <v>3686159</v>
      </c>
      <c r="K4" s="3">
        <v>3686159</v>
      </c>
      <c r="L4" s="3">
        <v>3686159</v>
      </c>
      <c r="M4" s="3">
        <v>3686159</v>
      </c>
      <c r="N4" s="3">
        <v>0</v>
      </c>
      <c r="O4" s="3">
        <v>3686159</v>
      </c>
      <c r="P4" s="1">
        <v>1</v>
      </c>
    </row>
    <row r="5" spans="1:16">
      <c r="A5" s="3">
        <v>0.6</v>
      </c>
      <c r="B5" s="3">
        <v>1715210</v>
      </c>
      <c r="C5" s="3">
        <v>1715210</v>
      </c>
      <c r="D5" s="3">
        <v>1715210</v>
      </c>
      <c r="E5" s="3">
        <v>1715210</v>
      </c>
      <c r="F5" s="3">
        <v>1715210</v>
      </c>
      <c r="G5" s="3">
        <v>1715210</v>
      </c>
      <c r="H5" s="3">
        <v>1715210</v>
      </c>
      <c r="I5" s="3">
        <v>1715210</v>
      </c>
      <c r="J5" s="3">
        <v>1715210</v>
      </c>
      <c r="K5" s="3">
        <v>1715210</v>
      </c>
      <c r="L5" s="3">
        <v>1715210</v>
      </c>
      <c r="M5" s="3">
        <v>1315210</v>
      </c>
      <c r="N5" s="3">
        <v>0</v>
      </c>
      <c r="O5" s="3">
        <v>1715210</v>
      </c>
      <c r="P5" s="1">
        <v>1</v>
      </c>
    </row>
    <row r="6" spans="1:16">
      <c r="A6" s="3">
        <v>0.8</v>
      </c>
      <c r="B6" s="3">
        <v>1715210</v>
      </c>
      <c r="C6" s="3">
        <v>1715210</v>
      </c>
      <c r="D6" s="3">
        <v>1715210</v>
      </c>
      <c r="E6" s="3">
        <v>1715210</v>
      </c>
      <c r="F6" s="3">
        <v>1715210</v>
      </c>
      <c r="G6" s="3">
        <v>1715210</v>
      </c>
      <c r="H6" s="3">
        <v>1715210</v>
      </c>
      <c r="I6" s="3">
        <v>1715210</v>
      </c>
      <c r="J6" s="3">
        <v>1715210</v>
      </c>
      <c r="K6" s="3">
        <v>1715210</v>
      </c>
      <c r="L6" s="3">
        <v>1715210</v>
      </c>
      <c r="M6" s="3">
        <v>0</v>
      </c>
      <c r="N6" s="3">
        <v>0</v>
      </c>
      <c r="O6" s="3">
        <v>1715210</v>
      </c>
      <c r="P6" s="1">
        <v>1</v>
      </c>
    </row>
    <row r="7" spans="1:16">
      <c r="A7" s="3">
        <v>0.9</v>
      </c>
      <c r="B7" s="3">
        <v>257281</v>
      </c>
      <c r="C7" s="3">
        <v>257281</v>
      </c>
      <c r="D7" s="3">
        <v>257281</v>
      </c>
      <c r="E7" s="3">
        <v>257281</v>
      </c>
      <c r="F7" s="3">
        <v>257281</v>
      </c>
      <c r="G7" s="3">
        <v>257281</v>
      </c>
      <c r="H7" s="3">
        <v>257281</v>
      </c>
      <c r="I7" s="3">
        <v>257281</v>
      </c>
      <c r="J7" s="3">
        <v>257281</v>
      </c>
      <c r="K7" s="3">
        <v>257281</v>
      </c>
      <c r="L7" s="3">
        <v>257281</v>
      </c>
      <c r="M7" s="3">
        <v>0</v>
      </c>
      <c r="N7" s="3">
        <v>0</v>
      </c>
      <c r="O7" s="3">
        <v>257281</v>
      </c>
      <c r="P7" s="1">
        <v>1</v>
      </c>
    </row>
    <row r="8" spans="1:16">
      <c r="A8" s="3">
        <v>1</v>
      </c>
      <c r="B8" s="3">
        <v>1715210</v>
      </c>
      <c r="C8" s="3">
        <v>1715210</v>
      </c>
      <c r="D8" s="3">
        <v>1715210</v>
      </c>
      <c r="E8" s="3">
        <v>1715210</v>
      </c>
      <c r="F8" s="3">
        <v>1715210</v>
      </c>
      <c r="G8" s="3">
        <v>1715210</v>
      </c>
      <c r="H8" s="3">
        <v>1715210</v>
      </c>
      <c r="I8" s="3">
        <v>1715210</v>
      </c>
      <c r="J8" s="3">
        <v>1715210</v>
      </c>
      <c r="K8" s="3">
        <v>1715210</v>
      </c>
      <c r="L8" s="3">
        <v>1715210</v>
      </c>
      <c r="M8" s="3">
        <v>0</v>
      </c>
      <c r="N8" s="3">
        <v>0</v>
      </c>
      <c r="O8" s="3">
        <v>1715210</v>
      </c>
      <c r="P8" s="1">
        <v>1</v>
      </c>
    </row>
    <row r="9" spans="1:16">
      <c r="A9" s="3">
        <v>1.1</v>
      </c>
      <c r="B9" s="3">
        <v>74107</v>
      </c>
      <c r="C9" s="3">
        <v>74107</v>
      </c>
      <c r="D9" s="3">
        <v>74107</v>
      </c>
      <c r="E9" s="3">
        <v>74107</v>
      </c>
      <c r="F9" s="3">
        <v>74107</v>
      </c>
      <c r="G9" s="3">
        <v>74107</v>
      </c>
      <c r="H9" s="3">
        <v>74107</v>
      </c>
      <c r="I9" s="3">
        <v>74107</v>
      </c>
      <c r="J9" s="3">
        <v>74107</v>
      </c>
      <c r="K9" s="3">
        <v>74107</v>
      </c>
      <c r="L9" s="3">
        <v>74107</v>
      </c>
      <c r="M9" s="3">
        <v>0</v>
      </c>
      <c r="N9" s="3">
        <v>0</v>
      </c>
      <c r="O9" s="3">
        <v>74107</v>
      </c>
      <c r="P9" s="1">
        <v>1</v>
      </c>
    </row>
    <row r="10" spans="1:16">
      <c r="A10" s="3">
        <v>1.2</v>
      </c>
      <c r="B10" s="3">
        <v>222321</v>
      </c>
      <c r="C10" s="3">
        <v>222321</v>
      </c>
      <c r="D10" s="3">
        <v>222321</v>
      </c>
      <c r="E10" s="3">
        <v>222321</v>
      </c>
      <c r="F10" s="3">
        <v>222321</v>
      </c>
      <c r="G10" s="3">
        <v>222321</v>
      </c>
      <c r="H10" s="3">
        <v>222321</v>
      </c>
      <c r="I10" s="3">
        <v>222321</v>
      </c>
      <c r="J10" s="3">
        <v>222321</v>
      </c>
      <c r="K10" s="3">
        <v>222321</v>
      </c>
      <c r="L10" s="3">
        <v>222321</v>
      </c>
      <c r="M10" s="3">
        <v>0</v>
      </c>
      <c r="N10" s="3">
        <v>0</v>
      </c>
      <c r="O10" s="3">
        <v>222321</v>
      </c>
      <c r="P10" s="1">
        <v>1</v>
      </c>
    </row>
    <row r="11" spans="1:16">
      <c r="A11" s="3">
        <v>1.3</v>
      </c>
      <c r="B11" s="3">
        <v>163035</v>
      </c>
      <c r="C11" s="3">
        <v>163035</v>
      </c>
      <c r="D11" s="3">
        <v>163035</v>
      </c>
      <c r="E11" s="3">
        <v>163035</v>
      </c>
      <c r="F11" s="3">
        <v>163035</v>
      </c>
      <c r="G11" s="3">
        <v>163035</v>
      </c>
      <c r="H11" s="3">
        <v>163035</v>
      </c>
      <c r="I11" s="3">
        <v>163035</v>
      </c>
      <c r="J11" s="3">
        <v>163035</v>
      </c>
      <c r="K11" s="3">
        <v>163035</v>
      </c>
      <c r="L11" s="3">
        <v>163035</v>
      </c>
      <c r="M11" s="3">
        <v>0</v>
      </c>
      <c r="N11" s="3">
        <v>0</v>
      </c>
      <c r="O11" s="3">
        <v>163035</v>
      </c>
      <c r="P11" s="1">
        <v>1</v>
      </c>
    </row>
    <row r="12" spans="1:16">
      <c r="A12" s="3">
        <v>1.4</v>
      </c>
      <c r="B12" s="3">
        <v>29642</v>
      </c>
      <c r="C12" s="3">
        <v>29642</v>
      </c>
      <c r="D12" s="3">
        <v>29642</v>
      </c>
      <c r="E12" s="3">
        <v>29642</v>
      </c>
      <c r="F12" s="3">
        <v>29642</v>
      </c>
      <c r="G12" s="3">
        <v>29642</v>
      </c>
      <c r="H12" s="3">
        <v>29642</v>
      </c>
      <c r="I12" s="3">
        <v>29642</v>
      </c>
      <c r="J12" s="3">
        <v>29642</v>
      </c>
      <c r="K12" s="3">
        <v>29642</v>
      </c>
      <c r="L12" s="3">
        <v>29642</v>
      </c>
      <c r="M12" s="3">
        <v>0</v>
      </c>
      <c r="N12" s="3">
        <v>0</v>
      </c>
      <c r="O12" s="3">
        <v>29642</v>
      </c>
      <c r="P12" s="1">
        <v>1</v>
      </c>
    </row>
    <row r="13" spans="1:16">
      <c r="A13" s="3">
        <v>1.5</v>
      </c>
      <c r="B13" s="3">
        <v>696606</v>
      </c>
      <c r="C13" s="3">
        <v>696606</v>
      </c>
      <c r="D13" s="3">
        <v>696606</v>
      </c>
      <c r="E13" s="3">
        <v>696606</v>
      </c>
      <c r="F13" s="3">
        <v>696606</v>
      </c>
      <c r="G13" s="3">
        <v>696606</v>
      </c>
      <c r="H13" s="3">
        <v>696606</v>
      </c>
      <c r="I13" s="3">
        <v>696606</v>
      </c>
      <c r="J13" s="3">
        <v>696606</v>
      </c>
      <c r="K13" s="3">
        <v>696606</v>
      </c>
      <c r="L13" s="3">
        <v>120000</v>
      </c>
      <c r="M13" s="3">
        <v>0</v>
      </c>
      <c r="N13" s="3">
        <v>0</v>
      </c>
      <c r="O13" s="3">
        <v>696606</v>
      </c>
      <c r="P13" s="1">
        <v>1</v>
      </c>
    </row>
    <row r="14" spans="1:16">
      <c r="A14" s="3">
        <v>1.6</v>
      </c>
      <c r="B14" s="3">
        <v>148214</v>
      </c>
      <c r="C14" s="3">
        <v>148214</v>
      </c>
      <c r="D14" s="3">
        <v>148214</v>
      </c>
      <c r="E14" s="3">
        <v>148214</v>
      </c>
      <c r="F14" s="3">
        <v>148214</v>
      </c>
      <c r="G14" s="3">
        <v>148214</v>
      </c>
      <c r="H14" s="3">
        <v>148214</v>
      </c>
      <c r="I14" s="3">
        <v>148214</v>
      </c>
      <c r="J14" s="3">
        <v>148214</v>
      </c>
      <c r="K14" s="3">
        <v>148214</v>
      </c>
      <c r="L14" s="3">
        <v>0</v>
      </c>
      <c r="M14" s="3">
        <v>0</v>
      </c>
      <c r="N14" s="3">
        <v>0</v>
      </c>
      <c r="O14" s="3">
        <v>148214</v>
      </c>
      <c r="P14" s="1">
        <v>1</v>
      </c>
    </row>
    <row r="15" spans="1:16">
      <c r="A15" s="3">
        <v>1.8</v>
      </c>
      <c r="B15" s="3">
        <v>74107</v>
      </c>
      <c r="C15" s="3">
        <v>74107</v>
      </c>
      <c r="D15" s="3">
        <v>74107</v>
      </c>
      <c r="E15" s="3">
        <v>74107</v>
      </c>
      <c r="F15" s="3">
        <v>74107</v>
      </c>
      <c r="G15" s="3">
        <v>74107</v>
      </c>
      <c r="H15" s="3">
        <v>74107</v>
      </c>
      <c r="I15" s="3">
        <v>74107</v>
      </c>
      <c r="J15" s="3">
        <v>74107</v>
      </c>
      <c r="K15" s="3">
        <v>74107</v>
      </c>
      <c r="L15" s="3">
        <v>0</v>
      </c>
      <c r="M15" s="3">
        <v>0</v>
      </c>
      <c r="N15" s="3">
        <v>0</v>
      </c>
      <c r="O15" s="3">
        <v>74107</v>
      </c>
      <c r="P15" s="1">
        <v>1</v>
      </c>
    </row>
    <row r="16" spans="1:16">
      <c r="A16" s="3">
        <v>1.9</v>
      </c>
      <c r="B16" s="3">
        <v>59285</v>
      </c>
      <c r="C16" s="3">
        <v>59285</v>
      </c>
      <c r="D16" s="3">
        <v>59285</v>
      </c>
      <c r="E16" s="3">
        <v>59285</v>
      </c>
      <c r="F16" s="3">
        <v>59285</v>
      </c>
      <c r="G16" s="3">
        <v>59285</v>
      </c>
      <c r="H16" s="3">
        <v>59285</v>
      </c>
      <c r="I16" s="3">
        <v>59285</v>
      </c>
      <c r="J16" s="3">
        <v>59285</v>
      </c>
      <c r="K16" s="3">
        <v>59285</v>
      </c>
      <c r="L16" s="3">
        <v>0</v>
      </c>
      <c r="M16" s="3">
        <v>0</v>
      </c>
      <c r="N16" s="3">
        <v>0</v>
      </c>
      <c r="O16" s="3">
        <v>59285</v>
      </c>
      <c r="P16" s="1">
        <v>1</v>
      </c>
    </row>
    <row r="17" spans="1:16">
      <c r="A17" s="3">
        <v>2</v>
      </c>
      <c r="B17" s="3">
        <v>1496963</v>
      </c>
      <c r="C17" s="3">
        <v>1496963</v>
      </c>
      <c r="D17" s="3">
        <v>1496963</v>
      </c>
      <c r="E17" s="3">
        <v>1496963</v>
      </c>
      <c r="F17" s="3">
        <v>1496963</v>
      </c>
      <c r="G17" s="3">
        <v>1496963</v>
      </c>
      <c r="H17" s="3">
        <v>1496963</v>
      </c>
      <c r="I17" s="3">
        <v>1496963</v>
      </c>
      <c r="J17" s="3">
        <v>1496963</v>
      </c>
      <c r="K17" s="3">
        <v>1496963</v>
      </c>
      <c r="L17" s="3">
        <v>0</v>
      </c>
      <c r="M17" s="3">
        <v>0</v>
      </c>
      <c r="N17" s="3">
        <v>0</v>
      </c>
      <c r="O17" s="3">
        <v>1496963</v>
      </c>
      <c r="P17" s="1">
        <v>1</v>
      </c>
    </row>
    <row r="18" spans="1:16">
      <c r="A18" s="3">
        <v>2.1</v>
      </c>
      <c r="B18" s="3">
        <v>184056</v>
      </c>
      <c r="C18" s="3">
        <v>184056</v>
      </c>
      <c r="D18" s="3">
        <v>184056</v>
      </c>
      <c r="E18" s="3">
        <v>184056</v>
      </c>
      <c r="F18" s="3">
        <v>184056</v>
      </c>
      <c r="G18" s="3">
        <v>184056</v>
      </c>
      <c r="H18" s="3">
        <v>184056</v>
      </c>
      <c r="I18" s="3">
        <v>184056</v>
      </c>
      <c r="J18" s="3">
        <v>184056</v>
      </c>
      <c r="K18" s="3">
        <v>100000</v>
      </c>
      <c r="L18" s="3">
        <v>0</v>
      </c>
      <c r="M18" s="3">
        <v>0</v>
      </c>
      <c r="N18" s="3">
        <v>0</v>
      </c>
      <c r="O18" s="3">
        <v>184056</v>
      </c>
      <c r="P18" s="1">
        <v>1</v>
      </c>
    </row>
    <row r="19" spans="1:16">
      <c r="A19" s="3">
        <v>2.2</v>
      </c>
      <c r="B19" s="3">
        <v>19374</v>
      </c>
      <c r="C19" s="3">
        <v>19374</v>
      </c>
      <c r="D19" s="3">
        <v>19374</v>
      </c>
      <c r="E19" s="3">
        <v>19374</v>
      </c>
      <c r="F19" s="3">
        <v>19374</v>
      </c>
      <c r="G19" s="3">
        <v>19374</v>
      </c>
      <c r="H19" s="3">
        <v>19374</v>
      </c>
      <c r="I19" s="3">
        <v>19374</v>
      </c>
      <c r="J19" s="3">
        <v>19374</v>
      </c>
      <c r="K19" s="3">
        <v>0</v>
      </c>
      <c r="L19" s="3">
        <v>0</v>
      </c>
      <c r="M19" s="3">
        <v>0</v>
      </c>
      <c r="N19" s="3">
        <v>0</v>
      </c>
      <c r="O19" s="3">
        <v>19374</v>
      </c>
      <c r="P19" s="1">
        <v>1</v>
      </c>
    </row>
    <row r="20" spans="1:16">
      <c r="A20" s="3">
        <v>2.3</v>
      </c>
      <c r="B20" s="3">
        <v>213117</v>
      </c>
      <c r="C20" s="3">
        <v>213117</v>
      </c>
      <c r="D20" s="3">
        <v>213117</v>
      </c>
      <c r="E20" s="3">
        <v>213117</v>
      </c>
      <c r="F20" s="3">
        <v>213117</v>
      </c>
      <c r="G20" s="3">
        <v>213117</v>
      </c>
      <c r="H20" s="3">
        <v>213117</v>
      </c>
      <c r="I20" s="3">
        <v>213117</v>
      </c>
      <c r="J20" s="3">
        <v>213117</v>
      </c>
      <c r="K20" s="3">
        <v>0</v>
      </c>
      <c r="L20" s="3">
        <v>0</v>
      </c>
      <c r="M20" s="3">
        <v>0</v>
      </c>
      <c r="N20" s="3">
        <v>0</v>
      </c>
      <c r="O20" s="3">
        <v>213117</v>
      </c>
      <c r="P20" s="1">
        <v>1</v>
      </c>
    </row>
    <row r="21" spans="1:16">
      <c r="A21" s="3">
        <v>2.4</v>
      </c>
      <c r="B21" s="3">
        <v>9687</v>
      </c>
      <c r="C21" s="3">
        <v>9687</v>
      </c>
      <c r="D21" s="3">
        <v>9687</v>
      </c>
      <c r="E21" s="3">
        <v>9687</v>
      </c>
      <c r="F21" s="3">
        <v>9687</v>
      </c>
      <c r="G21" s="3">
        <v>9687</v>
      </c>
      <c r="H21" s="3">
        <v>9687</v>
      </c>
      <c r="I21" s="3">
        <v>9687</v>
      </c>
      <c r="J21" s="3">
        <v>9687</v>
      </c>
      <c r="K21" s="3">
        <v>0</v>
      </c>
      <c r="L21" s="3">
        <v>0</v>
      </c>
      <c r="M21" s="3">
        <v>0</v>
      </c>
      <c r="N21" s="3">
        <v>0</v>
      </c>
      <c r="O21" s="3">
        <v>9687</v>
      </c>
      <c r="P21" s="1">
        <v>1</v>
      </c>
    </row>
    <row r="22" spans="1:16">
      <c r="A22" s="3">
        <v>2.5</v>
      </c>
      <c r="B22" s="3">
        <v>397173</v>
      </c>
      <c r="C22" s="3">
        <v>397173</v>
      </c>
      <c r="D22" s="3">
        <v>397173</v>
      </c>
      <c r="E22" s="3">
        <v>397173</v>
      </c>
      <c r="F22" s="3">
        <v>397173</v>
      </c>
      <c r="G22" s="3">
        <v>397173</v>
      </c>
      <c r="H22" s="3">
        <v>397173</v>
      </c>
      <c r="I22" s="3">
        <v>397173</v>
      </c>
      <c r="J22" s="3">
        <v>397173</v>
      </c>
      <c r="K22" s="3">
        <v>0</v>
      </c>
      <c r="L22" s="3">
        <v>0</v>
      </c>
      <c r="M22" s="3">
        <v>0</v>
      </c>
      <c r="N22" s="3">
        <v>0</v>
      </c>
      <c r="O22" s="3">
        <v>397173</v>
      </c>
      <c r="P22" s="1">
        <v>1</v>
      </c>
    </row>
    <row r="23" spans="1:16">
      <c r="A23" s="3">
        <v>2.6</v>
      </c>
      <c r="B23" s="3">
        <v>184056</v>
      </c>
      <c r="C23" s="3">
        <v>184056</v>
      </c>
      <c r="D23" s="3">
        <v>184056</v>
      </c>
      <c r="E23" s="3">
        <v>184056</v>
      </c>
      <c r="F23" s="3">
        <v>184056</v>
      </c>
      <c r="G23" s="3">
        <v>184056</v>
      </c>
      <c r="H23" s="3">
        <v>184056</v>
      </c>
      <c r="I23" s="3">
        <v>184056</v>
      </c>
      <c r="J23" s="3">
        <v>184056</v>
      </c>
      <c r="K23" s="3">
        <v>0</v>
      </c>
      <c r="L23" s="3">
        <v>0</v>
      </c>
      <c r="M23" s="3">
        <v>0</v>
      </c>
      <c r="N23" s="3">
        <v>0</v>
      </c>
      <c r="O23" s="3">
        <v>184056</v>
      </c>
      <c r="P23" s="1">
        <v>1</v>
      </c>
    </row>
    <row r="24" spans="1:16">
      <c r="A24" s="3">
        <v>2.7</v>
      </c>
      <c r="B24" s="3">
        <v>38748</v>
      </c>
      <c r="C24" s="3">
        <v>38748</v>
      </c>
      <c r="D24" s="3">
        <v>38748</v>
      </c>
      <c r="E24" s="3">
        <v>38748</v>
      </c>
      <c r="F24" s="3">
        <v>38748</v>
      </c>
      <c r="G24" s="3">
        <v>38748</v>
      </c>
      <c r="H24" s="3">
        <v>38748</v>
      </c>
      <c r="I24" s="3">
        <v>38748</v>
      </c>
      <c r="J24" s="3">
        <v>38748</v>
      </c>
      <c r="K24" s="3">
        <v>0</v>
      </c>
      <c r="L24" s="3">
        <v>0</v>
      </c>
      <c r="M24" s="3">
        <v>0</v>
      </c>
      <c r="N24" s="3">
        <v>0</v>
      </c>
      <c r="O24" s="3">
        <v>38748</v>
      </c>
      <c r="P24" s="1">
        <v>1</v>
      </c>
    </row>
    <row r="25" spans="1:16">
      <c r="A25" s="3">
        <v>2.8</v>
      </c>
      <c r="B25" s="3">
        <v>19374</v>
      </c>
      <c r="C25" s="3">
        <v>19374</v>
      </c>
      <c r="D25" s="3">
        <v>19374</v>
      </c>
      <c r="E25" s="3">
        <v>19374</v>
      </c>
      <c r="F25" s="3">
        <v>19374</v>
      </c>
      <c r="G25" s="3">
        <v>19374</v>
      </c>
      <c r="H25" s="3">
        <v>19374</v>
      </c>
      <c r="I25" s="3">
        <v>19374</v>
      </c>
      <c r="J25" s="3">
        <v>19374</v>
      </c>
      <c r="K25" s="3">
        <v>0</v>
      </c>
      <c r="L25" s="3">
        <v>0</v>
      </c>
      <c r="M25" s="3">
        <v>0</v>
      </c>
      <c r="N25" s="3">
        <v>0</v>
      </c>
      <c r="O25" s="3">
        <v>19374</v>
      </c>
      <c r="P25" s="1">
        <v>1</v>
      </c>
    </row>
    <row r="26" spans="1:16">
      <c r="A26" s="3">
        <v>2.9</v>
      </c>
      <c r="B26" s="3">
        <v>48435</v>
      </c>
      <c r="C26" s="3">
        <v>48435</v>
      </c>
      <c r="D26" s="3">
        <v>48435</v>
      </c>
      <c r="E26" s="3">
        <v>48435</v>
      </c>
      <c r="F26" s="3">
        <v>48435</v>
      </c>
      <c r="G26" s="3">
        <v>48435</v>
      </c>
      <c r="H26" s="3">
        <v>48435</v>
      </c>
      <c r="I26" s="3">
        <v>48435</v>
      </c>
      <c r="J26" s="3">
        <v>48435</v>
      </c>
      <c r="K26" s="3">
        <v>0</v>
      </c>
      <c r="L26" s="3">
        <v>0</v>
      </c>
      <c r="M26" s="3">
        <v>0</v>
      </c>
      <c r="N26" s="3">
        <v>0</v>
      </c>
      <c r="O26" s="3">
        <v>48435</v>
      </c>
      <c r="P26" s="1">
        <v>1</v>
      </c>
    </row>
    <row r="27" spans="1:16">
      <c r="A27" s="3">
        <v>3</v>
      </c>
      <c r="B27" s="3">
        <v>823409</v>
      </c>
      <c r="C27" s="3">
        <v>823409</v>
      </c>
      <c r="D27" s="3">
        <v>823409</v>
      </c>
      <c r="E27" s="3">
        <v>823409</v>
      </c>
      <c r="F27" s="3">
        <v>823409</v>
      </c>
      <c r="G27" s="3">
        <v>823409</v>
      </c>
      <c r="H27" s="3">
        <v>823409</v>
      </c>
      <c r="I27" s="3">
        <v>823409</v>
      </c>
      <c r="J27" s="3">
        <v>736409</v>
      </c>
      <c r="K27" s="3">
        <v>0</v>
      </c>
      <c r="L27" s="3">
        <v>0</v>
      </c>
      <c r="M27" s="3">
        <v>0</v>
      </c>
      <c r="N27" s="3">
        <v>0</v>
      </c>
      <c r="O27" s="3">
        <v>823409</v>
      </c>
      <c r="P27" s="1">
        <v>1</v>
      </c>
    </row>
    <row r="28" spans="1:16">
      <c r="A28" s="3">
        <v>3.1</v>
      </c>
      <c r="B28" s="3">
        <v>3044</v>
      </c>
      <c r="C28" s="3">
        <v>3044</v>
      </c>
      <c r="D28" s="3">
        <v>3044</v>
      </c>
      <c r="E28" s="3">
        <v>3044</v>
      </c>
      <c r="F28" s="3">
        <v>3044</v>
      </c>
      <c r="G28" s="3">
        <v>3044</v>
      </c>
      <c r="H28" s="3">
        <v>3044</v>
      </c>
      <c r="I28" s="3">
        <v>3044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3044</v>
      </c>
      <c r="P28" s="1">
        <v>1</v>
      </c>
    </row>
    <row r="29" spans="1:16">
      <c r="A29" s="3">
        <v>3.2</v>
      </c>
      <c r="B29" s="3">
        <v>18266</v>
      </c>
      <c r="C29" s="3">
        <v>18266</v>
      </c>
      <c r="D29" s="3">
        <v>18266</v>
      </c>
      <c r="E29" s="3">
        <v>18266</v>
      </c>
      <c r="F29" s="3">
        <v>18266</v>
      </c>
      <c r="G29" s="3">
        <v>18266</v>
      </c>
      <c r="H29" s="3">
        <v>18266</v>
      </c>
      <c r="I29" s="3">
        <v>18266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18266</v>
      </c>
      <c r="P29" s="1">
        <v>1</v>
      </c>
    </row>
    <row r="30" spans="1:16">
      <c r="A30" s="3">
        <v>3.3</v>
      </c>
      <c r="B30" s="3">
        <v>24355</v>
      </c>
      <c r="C30" s="3">
        <v>24355</v>
      </c>
      <c r="D30" s="3">
        <v>24355</v>
      </c>
      <c r="E30" s="3">
        <v>24355</v>
      </c>
      <c r="F30" s="3">
        <v>24355</v>
      </c>
      <c r="G30" s="3">
        <v>24355</v>
      </c>
      <c r="H30" s="3">
        <v>24355</v>
      </c>
      <c r="I30" s="3">
        <v>24355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24355</v>
      </c>
      <c r="P30" s="1">
        <v>1</v>
      </c>
    </row>
    <row r="31" spans="1:16">
      <c r="A31" s="3">
        <v>3.4</v>
      </c>
      <c r="B31" s="3">
        <v>3044</v>
      </c>
      <c r="C31" s="3">
        <v>3044</v>
      </c>
      <c r="D31" s="3">
        <v>3044</v>
      </c>
      <c r="E31" s="3">
        <v>3044</v>
      </c>
      <c r="F31" s="3">
        <v>3044</v>
      </c>
      <c r="G31" s="3">
        <v>3044</v>
      </c>
      <c r="H31" s="3">
        <v>3044</v>
      </c>
      <c r="I31" s="3">
        <v>3044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3044</v>
      </c>
      <c r="P31" s="1">
        <v>1</v>
      </c>
    </row>
    <row r="32" spans="1:16">
      <c r="A32" s="3">
        <v>3.5</v>
      </c>
      <c r="B32" s="3">
        <v>91332</v>
      </c>
      <c r="C32" s="3">
        <v>91332</v>
      </c>
      <c r="D32" s="3">
        <v>91332</v>
      </c>
      <c r="E32" s="3">
        <v>91332</v>
      </c>
      <c r="F32" s="3">
        <v>91332</v>
      </c>
      <c r="G32" s="3">
        <v>91332</v>
      </c>
      <c r="H32" s="3">
        <v>91332</v>
      </c>
      <c r="I32" s="3">
        <v>91332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91332</v>
      </c>
      <c r="P32" s="1">
        <v>1</v>
      </c>
    </row>
    <row r="33" spans="1:16">
      <c r="A33" s="3">
        <v>3.6</v>
      </c>
      <c r="B33" s="3">
        <v>3044</v>
      </c>
      <c r="C33" s="3">
        <v>3044</v>
      </c>
      <c r="D33" s="3">
        <v>3044</v>
      </c>
      <c r="E33" s="3">
        <v>3044</v>
      </c>
      <c r="F33" s="3">
        <v>3044</v>
      </c>
      <c r="G33" s="3">
        <v>3044</v>
      </c>
      <c r="H33" s="3">
        <v>3044</v>
      </c>
      <c r="I33" s="3">
        <v>3044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3044</v>
      </c>
      <c r="P33" s="1">
        <v>1</v>
      </c>
    </row>
    <row r="34" spans="1:16">
      <c r="A34" s="3">
        <v>3.8</v>
      </c>
      <c r="B34" s="3">
        <v>9133</v>
      </c>
      <c r="C34" s="3">
        <v>9133</v>
      </c>
      <c r="D34" s="3">
        <v>9133</v>
      </c>
      <c r="E34" s="3">
        <v>9133</v>
      </c>
      <c r="F34" s="3">
        <v>9133</v>
      </c>
      <c r="G34" s="3">
        <v>9133</v>
      </c>
      <c r="H34" s="3">
        <v>9133</v>
      </c>
      <c r="I34" s="3">
        <v>9133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9133</v>
      </c>
      <c r="P34" s="1">
        <v>1</v>
      </c>
    </row>
    <row r="35" spans="1:16">
      <c r="A35" s="3">
        <v>3.9</v>
      </c>
      <c r="B35" s="3">
        <v>9133</v>
      </c>
      <c r="C35" s="3">
        <v>9133</v>
      </c>
      <c r="D35" s="3">
        <v>9133</v>
      </c>
      <c r="E35" s="3">
        <v>9133</v>
      </c>
      <c r="F35" s="3">
        <v>9133</v>
      </c>
      <c r="G35" s="3">
        <v>9133</v>
      </c>
      <c r="H35" s="3">
        <v>9133</v>
      </c>
      <c r="I35" s="3">
        <v>9133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9133</v>
      </c>
      <c r="P35" s="1">
        <v>1</v>
      </c>
    </row>
    <row r="36" spans="1:16">
      <c r="A36" s="3">
        <v>4</v>
      </c>
      <c r="B36" s="3">
        <v>447528</v>
      </c>
      <c r="C36" s="3">
        <v>447528</v>
      </c>
      <c r="D36" s="3">
        <v>447528</v>
      </c>
      <c r="E36" s="3">
        <v>447528</v>
      </c>
      <c r="F36" s="3">
        <v>447528</v>
      </c>
      <c r="G36" s="3">
        <v>447528</v>
      </c>
      <c r="H36" s="3">
        <v>447528</v>
      </c>
      <c r="I36" s="3">
        <v>447528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447528</v>
      </c>
      <c r="P36" s="1">
        <v>1</v>
      </c>
    </row>
    <row r="37" spans="1:16">
      <c r="A37" s="3">
        <v>4.3</v>
      </c>
      <c r="B37" s="3">
        <v>49155</v>
      </c>
      <c r="C37" s="3">
        <v>49155</v>
      </c>
      <c r="D37" s="3">
        <v>49155</v>
      </c>
      <c r="E37" s="3">
        <v>49155</v>
      </c>
      <c r="F37" s="3">
        <v>49155</v>
      </c>
      <c r="G37" s="3">
        <v>49155</v>
      </c>
      <c r="H37" s="3">
        <v>49155</v>
      </c>
      <c r="I37" s="3">
        <v>49155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49155</v>
      </c>
      <c r="P37" s="1">
        <v>1</v>
      </c>
    </row>
    <row r="38" spans="1:16">
      <c r="A38" s="3">
        <v>4.5</v>
      </c>
      <c r="B38" s="3">
        <v>31806</v>
      </c>
      <c r="C38" s="3">
        <v>31806</v>
      </c>
      <c r="D38" s="3">
        <v>31806</v>
      </c>
      <c r="E38" s="3">
        <v>31806</v>
      </c>
      <c r="F38" s="3">
        <v>31806</v>
      </c>
      <c r="G38" s="3">
        <v>31806</v>
      </c>
      <c r="H38" s="3">
        <v>31806</v>
      </c>
      <c r="I38" s="3">
        <v>31806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31806</v>
      </c>
      <c r="P38" s="1">
        <v>1</v>
      </c>
    </row>
    <row r="39" spans="1:16">
      <c r="A39" s="3">
        <v>4.6</v>
      </c>
      <c r="B39" s="3">
        <v>11565</v>
      </c>
      <c r="C39" s="3">
        <v>11565</v>
      </c>
      <c r="D39" s="3">
        <v>11565</v>
      </c>
      <c r="E39" s="3">
        <v>11565</v>
      </c>
      <c r="F39" s="3">
        <v>11565</v>
      </c>
      <c r="G39" s="3">
        <v>11565</v>
      </c>
      <c r="H39" s="3">
        <v>11565</v>
      </c>
      <c r="I39" s="3">
        <v>11565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11565</v>
      </c>
      <c r="P39" s="1">
        <v>1</v>
      </c>
    </row>
    <row r="40" spans="1:16">
      <c r="A40" s="3">
        <v>4.9</v>
      </c>
      <c r="B40" s="3">
        <v>2891</v>
      </c>
      <c r="C40" s="3">
        <v>2891</v>
      </c>
      <c r="D40" s="3">
        <v>2891</v>
      </c>
      <c r="E40" s="3">
        <v>2891</v>
      </c>
      <c r="F40" s="3">
        <v>2891</v>
      </c>
      <c r="G40" s="3">
        <v>2891</v>
      </c>
      <c r="H40" s="3">
        <v>2891</v>
      </c>
      <c r="I40" s="3">
        <v>2891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2891</v>
      </c>
      <c r="P40" s="1">
        <v>1</v>
      </c>
    </row>
    <row r="41" spans="1:16">
      <c r="A41" s="3">
        <v>5</v>
      </c>
      <c r="B41" s="3">
        <v>482878</v>
      </c>
      <c r="C41" s="3">
        <v>482878</v>
      </c>
      <c r="D41" s="3">
        <v>482878</v>
      </c>
      <c r="E41" s="3">
        <v>482878</v>
      </c>
      <c r="F41" s="3">
        <v>482878</v>
      </c>
      <c r="G41" s="3">
        <v>482878</v>
      </c>
      <c r="H41" s="3">
        <v>482878</v>
      </c>
      <c r="I41" s="3">
        <v>352878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482878</v>
      </c>
      <c r="P41" s="1">
        <v>1</v>
      </c>
    </row>
    <row r="42" spans="1:16">
      <c r="A42" s="3">
        <v>5.2</v>
      </c>
      <c r="B42" s="3">
        <v>7712</v>
      </c>
      <c r="C42" s="3">
        <v>7712</v>
      </c>
      <c r="D42" s="3">
        <v>7712</v>
      </c>
      <c r="E42" s="3">
        <v>7712</v>
      </c>
      <c r="F42" s="3">
        <v>7712</v>
      </c>
      <c r="G42" s="3">
        <v>7712</v>
      </c>
      <c r="H42" s="3">
        <v>7712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7712</v>
      </c>
      <c r="P42" s="1">
        <v>1</v>
      </c>
    </row>
    <row r="43" spans="1:16">
      <c r="A43" s="3">
        <v>5.3</v>
      </c>
      <c r="B43" s="3">
        <v>53989</v>
      </c>
      <c r="C43" s="3">
        <v>53989</v>
      </c>
      <c r="D43" s="3">
        <v>53989</v>
      </c>
      <c r="E43" s="3">
        <v>53989</v>
      </c>
      <c r="F43" s="3">
        <v>53989</v>
      </c>
      <c r="G43" s="3">
        <v>53989</v>
      </c>
      <c r="H43" s="3">
        <v>53989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53989</v>
      </c>
      <c r="P43" s="1">
        <v>1</v>
      </c>
    </row>
    <row r="44" spans="1:16">
      <c r="A44" s="3">
        <v>5.5</v>
      </c>
      <c r="B44" s="3">
        <v>87411</v>
      </c>
      <c r="C44" s="3">
        <v>87411</v>
      </c>
      <c r="D44" s="3">
        <v>87411</v>
      </c>
      <c r="E44" s="3">
        <v>87411</v>
      </c>
      <c r="F44" s="3">
        <v>87411</v>
      </c>
      <c r="G44" s="3">
        <v>87411</v>
      </c>
      <c r="H44" s="3">
        <v>87411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87411</v>
      </c>
      <c r="P44" s="1">
        <v>1</v>
      </c>
    </row>
    <row r="45" spans="1:16">
      <c r="A45" s="3">
        <v>5.6</v>
      </c>
      <c r="B45" s="3">
        <v>23138</v>
      </c>
      <c r="C45" s="3">
        <v>23138</v>
      </c>
      <c r="D45" s="3">
        <v>23138</v>
      </c>
      <c r="E45" s="3">
        <v>23138</v>
      </c>
      <c r="F45" s="3">
        <v>23138</v>
      </c>
      <c r="G45" s="3">
        <v>23138</v>
      </c>
      <c r="H45" s="3">
        <v>23138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23138</v>
      </c>
      <c r="P45" s="1">
        <v>1</v>
      </c>
    </row>
    <row r="46" spans="1:16">
      <c r="A46" s="3">
        <v>5.8</v>
      </c>
      <c r="B46" s="3">
        <v>5141</v>
      </c>
      <c r="C46" s="3">
        <v>5141</v>
      </c>
      <c r="D46" s="3">
        <v>5141</v>
      </c>
      <c r="E46" s="3">
        <v>5141</v>
      </c>
      <c r="F46" s="3">
        <v>5141</v>
      </c>
      <c r="G46" s="3">
        <v>5141</v>
      </c>
      <c r="H46" s="3">
        <v>5141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5141</v>
      </c>
      <c r="P46" s="1">
        <v>1</v>
      </c>
    </row>
    <row r="47" spans="1:16">
      <c r="A47" s="3">
        <v>5.9</v>
      </c>
      <c r="B47" s="3">
        <v>23138</v>
      </c>
      <c r="C47" s="3">
        <v>23138</v>
      </c>
      <c r="D47" s="3">
        <v>23138</v>
      </c>
      <c r="E47" s="3">
        <v>23138</v>
      </c>
      <c r="F47" s="3">
        <v>23138</v>
      </c>
      <c r="G47" s="3">
        <v>23138</v>
      </c>
      <c r="H47" s="3">
        <v>23138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23138</v>
      </c>
      <c r="P47" s="1">
        <v>1</v>
      </c>
    </row>
    <row r="48" spans="1:16">
      <c r="A48" s="3">
        <v>6</v>
      </c>
      <c r="B48" s="3">
        <v>313654</v>
      </c>
      <c r="C48" s="3">
        <v>313654</v>
      </c>
      <c r="D48" s="3">
        <v>313654</v>
      </c>
      <c r="E48" s="3">
        <v>313654</v>
      </c>
      <c r="F48" s="3">
        <v>313654</v>
      </c>
      <c r="G48" s="3">
        <v>313654</v>
      </c>
      <c r="H48" s="3">
        <v>313654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313654</v>
      </c>
      <c r="P48" s="1">
        <v>1</v>
      </c>
    </row>
    <row r="49" spans="1:16">
      <c r="A49" s="3">
        <v>6.2</v>
      </c>
      <c r="B49" s="3">
        <v>5845</v>
      </c>
      <c r="C49" s="3">
        <v>5845</v>
      </c>
      <c r="D49" s="3">
        <v>5845</v>
      </c>
      <c r="E49" s="3">
        <v>5845</v>
      </c>
      <c r="F49" s="3">
        <v>5845</v>
      </c>
      <c r="G49" s="3">
        <v>5845</v>
      </c>
      <c r="H49" s="3">
        <v>5845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5845</v>
      </c>
      <c r="P49" s="1">
        <v>1</v>
      </c>
    </row>
    <row r="50" spans="1:16">
      <c r="A50" s="3">
        <v>6.3</v>
      </c>
      <c r="B50" s="3">
        <v>14612</v>
      </c>
      <c r="C50" s="3">
        <v>14612</v>
      </c>
      <c r="D50" s="3">
        <v>14612</v>
      </c>
      <c r="E50" s="3">
        <v>14612</v>
      </c>
      <c r="F50" s="3">
        <v>14612</v>
      </c>
      <c r="G50" s="3">
        <v>14612</v>
      </c>
      <c r="H50" s="3">
        <v>14612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14612</v>
      </c>
      <c r="P50" s="1">
        <v>1</v>
      </c>
    </row>
    <row r="51" spans="1:16">
      <c r="A51" s="3">
        <v>6.5</v>
      </c>
      <c r="B51" s="3">
        <v>45299</v>
      </c>
      <c r="C51" s="3">
        <v>45299</v>
      </c>
      <c r="D51" s="3">
        <v>45299</v>
      </c>
      <c r="E51" s="3">
        <v>45299</v>
      </c>
      <c r="F51" s="3">
        <v>45299</v>
      </c>
      <c r="G51" s="3">
        <v>45299</v>
      </c>
      <c r="H51" s="3">
        <v>45299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45299</v>
      </c>
      <c r="P51" s="1">
        <v>1</v>
      </c>
    </row>
    <row r="52" spans="1:16">
      <c r="A52" s="3">
        <v>6.6</v>
      </c>
      <c r="B52" s="3">
        <v>8767</v>
      </c>
      <c r="C52" s="3">
        <v>8767</v>
      </c>
      <c r="D52" s="3">
        <v>8767</v>
      </c>
      <c r="E52" s="3">
        <v>8767</v>
      </c>
      <c r="F52" s="3">
        <v>8767</v>
      </c>
      <c r="G52" s="3">
        <v>8767</v>
      </c>
      <c r="H52" s="3">
        <v>8767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8767</v>
      </c>
      <c r="P52" s="1">
        <v>1</v>
      </c>
    </row>
    <row r="53" spans="1:16">
      <c r="A53" s="3">
        <v>7</v>
      </c>
      <c r="B53" s="3">
        <v>217732</v>
      </c>
      <c r="C53" s="3">
        <v>217732</v>
      </c>
      <c r="D53" s="3">
        <v>217732</v>
      </c>
      <c r="E53" s="3">
        <v>217732</v>
      </c>
      <c r="F53" s="3">
        <v>217732</v>
      </c>
      <c r="G53" s="3">
        <v>217732</v>
      </c>
      <c r="H53" s="3">
        <v>90000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217732</v>
      </c>
      <c r="P53" s="1">
        <v>1</v>
      </c>
    </row>
    <row r="54" spans="1:16">
      <c r="A54" s="3">
        <v>7.2</v>
      </c>
      <c r="B54" s="3">
        <v>2362</v>
      </c>
      <c r="C54" s="3">
        <v>2362</v>
      </c>
      <c r="D54" s="3">
        <v>2362</v>
      </c>
      <c r="E54" s="3">
        <v>2362</v>
      </c>
      <c r="F54" s="3">
        <v>2362</v>
      </c>
      <c r="G54" s="3">
        <v>2362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2362</v>
      </c>
      <c r="P54" s="1">
        <v>1</v>
      </c>
    </row>
    <row r="55" spans="1:16">
      <c r="A55" s="3">
        <v>7.3</v>
      </c>
      <c r="B55" s="3">
        <v>4725</v>
      </c>
      <c r="C55" s="3">
        <v>4725</v>
      </c>
      <c r="D55" s="3">
        <v>4725</v>
      </c>
      <c r="E55" s="3">
        <v>4725</v>
      </c>
      <c r="F55" s="3">
        <v>4725</v>
      </c>
      <c r="G55" s="3">
        <v>4725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4725</v>
      </c>
      <c r="P55" s="1">
        <v>1</v>
      </c>
    </row>
    <row r="56" spans="1:16">
      <c r="A56" s="3">
        <v>7.5</v>
      </c>
      <c r="B56" s="3">
        <v>16540</v>
      </c>
      <c r="C56" s="3">
        <v>16540</v>
      </c>
      <c r="D56" s="3">
        <v>16540</v>
      </c>
      <c r="E56" s="3">
        <v>16540</v>
      </c>
      <c r="F56" s="3">
        <v>16540</v>
      </c>
      <c r="G56" s="3">
        <v>16540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16540</v>
      </c>
      <c r="P56" s="1">
        <v>1</v>
      </c>
    </row>
    <row r="57" spans="1:16">
      <c r="A57" s="3">
        <v>7.6</v>
      </c>
      <c r="B57" s="3">
        <v>1181</v>
      </c>
      <c r="C57" s="3">
        <v>1181</v>
      </c>
      <c r="D57" s="3">
        <v>1181</v>
      </c>
      <c r="E57" s="3">
        <v>1181</v>
      </c>
      <c r="F57" s="3">
        <v>1181</v>
      </c>
      <c r="G57" s="3">
        <v>1181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1181</v>
      </c>
      <c r="P57" s="1">
        <v>1</v>
      </c>
    </row>
    <row r="58" spans="1:16">
      <c r="A58" s="3">
        <v>7.9</v>
      </c>
      <c r="B58" s="3">
        <v>1181</v>
      </c>
      <c r="C58" s="3">
        <v>1181</v>
      </c>
      <c r="D58" s="3">
        <v>1181</v>
      </c>
      <c r="E58" s="3">
        <v>1181</v>
      </c>
      <c r="F58" s="3">
        <v>1181</v>
      </c>
      <c r="G58" s="3">
        <v>1181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1181</v>
      </c>
      <c r="P58" s="1">
        <v>1</v>
      </c>
    </row>
    <row r="59" spans="1:16">
      <c r="A59" s="3">
        <v>8</v>
      </c>
      <c r="B59" s="3">
        <v>210301</v>
      </c>
      <c r="C59" s="3">
        <v>210301</v>
      </c>
      <c r="D59" s="3">
        <v>210301</v>
      </c>
      <c r="E59" s="3">
        <v>210301</v>
      </c>
      <c r="F59" s="3">
        <v>210301</v>
      </c>
      <c r="G59" s="3">
        <v>210301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210301</v>
      </c>
      <c r="P59" s="1">
        <v>1</v>
      </c>
    </row>
    <row r="60" spans="1:16">
      <c r="A60" s="3">
        <v>8.3</v>
      </c>
      <c r="B60" s="3">
        <v>9918</v>
      </c>
      <c r="C60" s="3">
        <v>9918</v>
      </c>
      <c r="D60" s="3">
        <v>9918</v>
      </c>
      <c r="E60" s="3">
        <v>9918</v>
      </c>
      <c r="F60" s="3">
        <v>9918</v>
      </c>
      <c r="G60" s="3">
        <v>9918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9918</v>
      </c>
      <c r="P60" s="1">
        <v>1</v>
      </c>
    </row>
    <row r="61" spans="1:16">
      <c r="A61" s="3">
        <v>8.5</v>
      </c>
      <c r="B61" s="3">
        <v>21639</v>
      </c>
      <c r="C61" s="3">
        <v>21639</v>
      </c>
      <c r="D61" s="3">
        <v>21639</v>
      </c>
      <c r="E61" s="3">
        <v>21639</v>
      </c>
      <c r="F61" s="3">
        <v>21639</v>
      </c>
      <c r="G61" s="3">
        <v>21639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21639</v>
      </c>
      <c r="P61" s="1">
        <v>1</v>
      </c>
    </row>
    <row r="62" spans="1:16">
      <c r="A62" s="3">
        <v>8.6</v>
      </c>
      <c r="B62" s="3">
        <v>6311</v>
      </c>
      <c r="C62" s="3">
        <v>6311</v>
      </c>
      <c r="D62" s="3">
        <v>6311</v>
      </c>
      <c r="E62" s="3">
        <v>6311</v>
      </c>
      <c r="F62" s="3">
        <v>6311</v>
      </c>
      <c r="G62" s="3">
        <v>6311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6311</v>
      </c>
      <c r="P62" s="1">
        <v>1</v>
      </c>
    </row>
    <row r="63" spans="1:16">
      <c r="A63" s="3">
        <v>9</v>
      </c>
      <c r="B63" s="3">
        <v>142460</v>
      </c>
      <c r="C63" s="3">
        <v>142460</v>
      </c>
      <c r="D63" s="3">
        <v>142460</v>
      </c>
      <c r="E63" s="3">
        <v>142460</v>
      </c>
      <c r="F63" s="3">
        <v>142460</v>
      </c>
      <c r="G63" s="3">
        <v>142460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142460</v>
      </c>
      <c r="P63" s="1">
        <v>1</v>
      </c>
    </row>
    <row r="64" spans="1:16">
      <c r="A64" s="3">
        <v>9.3</v>
      </c>
      <c r="B64" s="3">
        <v>1752</v>
      </c>
      <c r="C64" s="3">
        <v>1752</v>
      </c>
      <c r="D64" s="3">
        <v>1752</v>
      </c>
      <c r="E64" s="3">
        <v>1752</v>
      </c>
      <c r="F64" s="3">
        <v>1752</v>
      </c>
      <c r="G64" s="3">
        <v>1752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1752</v>
      </c>
      <c r="P64" s="1">
        <v>1</v>
      </c>
    </row>
    <row r="65" spans="1:16">
      <c r="A65" s="3">
        <v>10</v>
      </c>
      <c r="B65" s="3">
        <v>348830</v>
      </c>
      <c r="C65" s="3">
        <v>348830</v>
      </c>
      <c r="D65" s="3">
        <v>348830</v>
      </c>
      <c r="E65" s="3">
        <v>348830</v>
      </c>
      <c r="F65" s="3">
        <v>348830</v>
      </c>
      <c r="G65" s="3">
        <v>40000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348830</v>
      </c>
      <c r="P65" s="1">
        <v>1</v>
      </c>
    </row>
    <row r="66" spans="1:16">
      <c r="A66" s="3">
        <v>10.3</v>
      </c>
      <c r="B66" s="3">
        <v>11824</v>
      </c>
      <c r="C66" s="3">
        <v>11824</v>
      </c>
      <c r="D66" s="3">
        <v>11824</v>
      </c>
      <c r="E66" s="3">
        <v>11824</v>
      </c>
      <c r="F66" s="3">
        <v>11824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11824</v>
      </c>
      <c r="P66" s="1">
        <v>1</v>
      </c>
    </row>
    <row r="67" spans="1:16">
      <c r="A67" s="3">
        <v>10.5</v>
      </c>
      <c r="B67" s="3">
        <v>13794</v>
      </c>
      <c r="C67" s="3">
        <v>13794</v>
      </c>
      <c r="D67" s="3">
        <v>13794</v>
      </c>
      <c r="E67" s="3">
        <v>13794</v>
      </c>
      <c r="F67" s="3">
        <v>13794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13794</v>
      </c>
      <c r="P67" s="1">
        <v>1</v>
      </c>
    </row>
    <row r="68" spans="1:16">
      <c r="A68" s="3">
        <v>10.6</v>
      </c>
      <c r="B68" s="3">
        <v>12809</v>
      </c>
      <c r="C68" s="3">
        <v>12809</v>
      </c>
      <c r="D68" s="3">
        <v>12809</v>
      </c>
      <c r="E68" s="3">
        <v>12809</v>
      </c>
      <c r="F68" s="3">
        <v>12809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12809</v>
      </c>
      <c r="P68" s="1">
        <v>1</v>
      </c>
    </row>
    <row r="69" spans="1:16">
      <c r="A69" s="3">
        <v>10.9</v>
      </c>
      <c r="B69" s="3">
        <v>4926</v>
      </c>
      <c r="C69" s="3">
        <v>4926</v>
      </c>
      <c r="D69" s="3">
        <v>4926</v>
      </c>
      <c r="E69" s="3">
        <v>4926</v>
      </c>
      <c r="F69" s="3">
        <v>4926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4926</v>
      </c>
      <c r="P69" s="1">
        <v>1</v>
      </c>
    </row>
    <row r="70" spans="1:16">
      <c r="A70" s="3">
        <v>11</v>
      </c>
      <c r="B70" s="3">
        <v>24633</v>
      </c>
      <c r="C70" s="3">
        <v>24633</v>
      </c>
      <c r="D70" s="3">
        <v>24633</v>
      </c>
      <c r="E70" s="3">
        <v>24633</v>
      </c>
      <c r="F70" s="3">
        <v>24633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24633</v>
      </c>
      <c r="P70" s="1">
        <v>1</v>
      </c>
    </row>
    <row r="71" spans="1:16">
      <c r="A71" s="3">
        <v>11.3</v>
      </c>
      <c r="B71" s="3">
        <v>1970</v>
      </c>
      <c r="C71" s="3">
        <v>1970</v>
      </c>
      <c r="D71" s="3">
        <v>1970</v>
      </c>
      <c r="E71" s="3">
        <v>1970</v>
      </c>
      <c r="F71" s="3">
        <v>1970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1970</v>
      </c>
      <c r="P71" s="1">
        <v>1</v>
      </c>
    </row>
    <row r="72" spans="1:16">
      <c r="A72" s="3">
        <v>11.5</v>
      </c>
      <c r="B72" s="3">
        <v>3941</v>
      </c>
      <c r="C72" s="3">
        <v>3941</v>
      </c>
      <c r="D72" s="3">
        <v>3941</v>
      </c>
      <c r="E72" s="3">
        <v>3941</v>
      </c>
      <c r="F72" s="3">
        <v>3941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3941</v>
      </c>
      <c r="P72" s="1">
        <v>1</v>
      </c>
    </row>
    <row r="73" spans="1:16">
      <c r="A73" s="3">
        <v>11.9</v>
      </c>
      <c r="B73" s="3">
        <v>985</v>
      </c>
      <c r="C73" s="3">
        <v>985</v>
      </c>
      <c r="D73" s="3">
        <v>985</v>
      </c>
      <c r="E73" s="3">
        <v>985</v>
      </c>
      <c r="F73" s="3">
        <v>985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985</v>
      </c>
      <c r="P73" s="1">
        <v>1</v>
      </c>
    </row>
    <row r="74" spans="1:16">
      <c r="A74" s="3">
        <v>12</v>
      </c>
      <c r="B74" s="3">
        <v>27589</v>
      </c>
      <c r="C74" s="3">
        <v>27589</v>
      </c>
      <c r="D74" s="3">
        <v>27589</v>
      </c>
      <c r="E74" s="3">
        <v>27589</v>
      </c>
      <c r="F74" s="3">
        <v>27589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27589</v>
      </c>
      <c r="P74" s="1">
        <v>1</v>
      </c>
    </row>
    <row r="75" spans="1:16">
      <c r="A75" s="3">
        <v>12.5</v>
      </c>
      <c r="B75" s="3">
        <v>4926</v>
      </c>
      <c r="C75" s="3">
        <v>4926</v>
      </c>
      <c r="D75" s="3">
        <v>4926</v>
      </c>
      <c r="E75" s="3">
        <v>4926</v>
      </c>
      <c r="F75" s="3">
        <v>4926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4926</v>
      </c>
      <c r="P75" s="1">
        <v>1</v>
      </c>
    </row>
    <row r="76" spans="1:16">
      <c r="A76" s="3">
        <v>13</v>
      </c>
      <c r="B76" s="3">
        <v>5912</v>
      </c>
      <c r="C76" s="3">
        <v>5912</v>
      </c>
      <c r="D76" s="3">
        <v>5912</v>
      </c>
      <c r="E76" s="3">
        <v>5912</v>
      </c>
      <c r="F76" s="3">
        <v>5912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5912</v>
      </c>
      <c r="P76" s="1">
        <v>1</v>
      </c>
    </row>
    <row r="77" spans="1:16">
      <c r="A77" s="3">
        <v>13.3</v>
      </c>
      <c r="B77" s="3">
        <v>985</v>
      </c>
      <c r="C77" s="3">
        <v>985</v>
      </c>
      <c r="D77" s="3">
        <v>985</v>
      </c>
      <c r="E77" s="3">
        <v>985</v>
      </c>
      <c r="F77" s="3">
        <v>985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985</v>
      </c>
      <c r="P77" s="1">
        <v>1</v>
      </c>
    </row>
    <row r="78" spans="1:16">
      <c r="A78" s="3">
        <v>14</v>
      </c>
      <c r="B78" s="3">
        <v>5912</v>
      </c>
      <c r="C78" s="3">
        <v>5912</v>
      </c>
      <c r="D78" s="3">
        <v>5912</v>
      </c>
      <c r="E78" s="3">
        <v>5912</v>
      </c>
      <c r="F78" s="3">
        <v>5912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5912</v>
      </c>
      <c r="P78" s="1">
        <v>1</v>
      </c>
    </row>
    <row r="79" spans="1:16">
      <c r="A79" s="3">
        <v>14.5</v>
      </c>
      <c r="B79" s="3">
        <v>985</v>
      </c>
      <c r="C79" s="3">
        <v>985</v>
      </c>
      <c r="D79" s="3">
        <v>985</v>
      </c>
      <c r="E79" s="3">
        <v>985</v>
      </c>
      <c r="F79" s="3">
        <v>985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985</v>
      </c>
      <c r="P79" s="1">
        <v>1</v>
      </c>
    </row>
    <row r="80" spans="1:16">
      <c r="A80" s="3">
        <v>15</v>
      </c>
      <c r="B80" s="3">
        <v>26604</v>
      </c>
      <c r="C80" s="3">
        <v>26604</v>
      </c>
      <c r="D80" s="3">
        <v>26604</v>
      </c>
      <c r="E80" s="3">
        <v>26604</v>
      </c>
      <c r="F80" s="3">
        <v>20000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26604</v>
      </c>
      <c r="P80" s="1">
        <v>1</v>
      </c>
    </row>
    <row r="81" spans="1:16">
      <c r="A81" s="3">
        <v>15.3</v>
      </c>
      <c r="B81" s="3">
        <v>2500</v>
      </c>
      <c r="C81" s="3">
        <v>2500</v>
      </c>
      <c r="D81" s="3">
        <v>2500</v>
      </c>
      <c r="E81" s="3">
        <v>2500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2500</v>
      </c>
      <c r="P81" s="1">
        <v>1</v>
      </c>
    </row>
    <row r="82" spans="1:16">
      <c r="A82" s="3">
        <v>15.5</v>
      </c>
      <c r="B82" s="3">
        <v>5000</v>
      </c>
      <c r="C82" s="3">
        <v>5000</v>
      </c>
      <c r="D82" s="3">
        <v>5000</v>
      </c>
      <c r="E82" s="3">
        <v>5000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5000</v>
      </c>
      <c r="P82" s="1">
        <v>1</v>
      </c>
    </row>
    <row r="83" spans="1:16">
      <c r="A83" s="3">
        <v>15.6</v>
      </c>
      <c r="B83" s="3">
        <v>1666</v>
      </c>
      <c r="C83" s="3">
        <v>1666</v>
      </c>
      <c r="D83" s="3">
        <v>1666</v>
      </c>
      <c r="E83" s="3">
        <v>1666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1666</v>
      </c>
      <c r="P83" s="1">
        <v>1</v>
      </c>
    </row>
    <row r="84" spans="1:16">
      <c r="A84" s="3">
        <v>15.9</v>
      </c>
      <c r="B84" s="3">
        <v>1666</v>
      </c>
      <c r="C84" s="3">
        <v>1666</v>
      </c>
      <c r="D84" s="3">
        <v>1666</v>
      </c>
      <c r="E84" s="3">
        <v>1666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1666</v>
      </c>
      <c r="P84" s="1">
        <v>1</v>
      </c>
    </row>
    <row r="85" spans="1:16">
      <c r="A85" s="3">
        <v>16</v>
      </c>
      <c r="B85" s="3">
        <v>5000</v>
      </c>
      <c r="C85" s="3">
        <v>5000</v>
      </c>
      <c r="D85" s="3">
        <v>5000</v>
      </c>
      <c r="E85" s="3">
        <v>5000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5000</v>
      </c>
      <c r="P85" s="1">
        <v>1</v>
      </c>
    </row>
    <row r="86" spans="1:16">
      <c r="A86" s="3">
        <v>17</v>
      </c>
      <c r="B86" s="3">
        <v>2500</v>
      </c>
      <c r="C86" s="3">
        <v>2500</v>
      </c>
      <c r="D86" s="3">
        <v>2500</v>
      </c>
      <c r="E86" s="3">
        <v>2500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2500</v>
      </c>
      <c r="P86" s="1">
        <v>1</v>
      </c>
    </row>
    <row r="87" spans="1:16">
      <c r="A87" s="3">
        <v>18</v>
      </c>
      <c r="B87" s="3">
        <v>7500</v>
      </c>
      <c r="C87" s="3">
        <v>7500</v>
      </c>
      <c r="D87" s="3">
        <v>7500</v>
      </c>
      <c r="E87" s="3">
        <v>7500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7500</v>
      </c>
      <c r="P87" s="1">
        <v>1</v>
      </c>
    </row>
    <row r="88" spans="1:16">
      <c r="A88" s="3">
        <v>19</v>
      </c>
      <c r="B88" s="3">
        <v>1666</v>
      </c>
      <c r="C88" s="3">
        <v>1666</v>
      </c>
      <c r="D88" s="3">
        <v>1666</v>
      </c>
      <c r="E88" s="3">
        <v>1666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1666</v>
      </c>
      <c r="P88" s="1">
        <v>1</v>
      </c>
    </row>
    <row r="89" spans="1:16">
      <c r="A89" s="3">
        <v>20</v>
      </c>
      <c r="B89" s="3">
        <v>72500</v>
      </c>
      <c r="C89" s="3">
        <v>72500</v>
      </c>
      <c r="D89" s="3">
        <v>72500</v>
      </c>
      <c r="E89" s="3">
        <v>64800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72500</v>
      </c>
      <c r="P89" s="1">
        <v>1</v>
      </c>
    </row>
    <row r="90" spans="1:16">
      <c r="A90" s="3">
        <v>20.3</v>
      </c>
      <c r="B90" s="3">
        <v>4000</v>
      </c>
      <c r="C90" s="3">
        <v>4000</v>
      </c>
      <c r="D90" s="3">
        <v>4000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4000</v>
      </c>
      <c r="P90" s="1">
        <v>1</v>
      </c>
    </row>
    <row r="91" spans="1:16">
      <c r="A91" s="3">
        <v>20.5</v>
      </c>
      <c r="B91" s="3">
        <v>1600</v>
      </c>
      <c r="C91" s="3">
        <v>1600</v>
      </c>
      <c r="D91" s="3">
        <v>1600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1600</v>
      </c>
      <c r="P91" s="1">
        <v>1</v>
      </c>
    </row>
    <row r="92" spans="1:16">
      <c r="A92" s="3">
        <v>20.6</v>
      </c>
      <c r="B92" s="3">
        <v>4000</v>
      </c>
      <c r="C92" s="3">
        <v>4000</v>
      </c>
      <c r="D92" s="3">
        <v>4000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4000</v>
      </c>
      <c r="P92" s="1">
        <v>1</v>
      </c>
    </row>
    <row r="93" spans="1:16">
      <c r="A93" s="3">
        <v>21</v>
      </c>
      <c r="B93" s="3">
        <v>4000</v>
      </c>
      <c r="C93" s="3">
        <v>4000</v>
      </c>
      <c r="D93" s="3">
        <v>4000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4000</v>
      </c>
      <c r="P93" s="1">
        <v>1</v>
      </c>
    </row>
    <row r="94" spans="1:16">
      <c r="A94" s="3">
        <v>21.1</v>
      </c>
      <c r="B94" s="3">
        <v>800</v>
      </c>
      <c r="C94" s="3">
        <v>800</v>
      </c>
      <c r="D94" s="3">
        <v>800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800</v>
      </c>
      <c r="P94" s="1">
        <v>1</v>
      </c>
    </row>
    <row r="95" spans="1:16">
      <c r="A95" s="3">
        <v>21.2</v>
      </c>
      <c r="B95" s="3">
        <v>800</v>
      </c>
      <c r="C95" s="3">
        <v>800</v>
      </c>
      <c r="D95" s="3">
        <v>800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800</v>
      </c>
      <c r="P95" s="1">
        <v>1</v>
      </c>
    </row>
    <row r="96" spans="1:16">
      <c r="A96" s="3">
        <v>21.4</v>
      </c>
      <c r="B96" s="3">
        <v>800</v>
      </c>
      <c r="C96" s="3">
        <v>800</v>
      </c>
      <c r="D96" s="3">
        <v>800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800</v>
      </c>
      <c r="P96" s="1">
        <v>1</v>
      </c>
    </row>
    <row r="97" spans="1:16">
      <c r="A97" s="3">
        <v>21.5</v>
      </c>
      <c r="B97" s="3">
        <v>1600</v>
      </c>
      <c r="C97" s="3">
        <v>1600</v>
      </c>
      <c r="D97" s="3">
        <v>1600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1600</v>
      </c>
      <c r="P97" s="1">
        <v>1</v>
      </c>
    </row>
    <row r="98" spans="1:16">
      <c r="A98" s="3">
        <v>21.8</v>
      </c>
      <c r="B98" s="3">
        <v>800</v>
      </c>
      <c r="C98" s="3">
        <v>800</v>
      </c>
      <c r="D98" s="3">
        <v>800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800</v>
      </c>
      <c r="P98" s="1">
        <v>1</v>
      </c>
    </row>
    <row r="99" spans="1:16">
      <c r="A99" s="3">
        <v>21.9</v>
      </c>
      <c r="B99" s="3">
        <v>800</v>
      </c>
      <c r="C99" s="3">
        <v>800</v>
      </c>
      <c r="D99" s="3">
        <v>800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800</v>
      </c>
      <c r="P99" s="1">
        <v>1</v>
      </c>
    </row>
    <row r="100" spans="1:16">
      <c r="A100" s="3">
        <v>22</v>
      </c>
      <c r="B100" s="3">
        <v>5600</v>
      </c>
      <c r="C100" s="3">
        <v>5600</v>
      </c>
      <c r="D100" s="3">
        <v>5600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5600</v>
      </c>
      <c r="P100" s="1">
        <v>1</v>
      </c>
    </row>
    <row r="101" spans="1:16">
      <c r="A101" s="3">
        <v>22.3</v>
      </c>
      <c r="B101" s="3">
        <v>800</v>
      </c>
      <c r="C101" s="3">
        <v>800</v>
      </c>
      <c r="D101" s="3">
        <v>800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800</v>
      </c>
      <c r="P101" s="1">
        <v>1</v>
      </c>
    </row>
    <row r="102" spans="1:16">
      <c r="A102" s="3">
        <v>22.4</v>
      </c>
      <c r="B102" s="3">
        <v>2400</v>
      </c>
      <c r="C102" s="3">
        <v>2400</v>
      </c>
      <c r="D102" s="3">
        <v>2400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2400</v>
      </c>
      <c r="P102" s="1">
        <v>1</v>
      </c>
    </row>
    <row r="103" spans="1:16">
      <c r="A103" s="3">
        <v>22.5</v>
      </c>
      <c r="B103" s="3">
        <v>1600</v>
      </c>
      <c r="C103" s="3">
        <v>1600</v>
      </c>
      <c r="D103" s="3">
        <v>1600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1600</v>
      </c>
      <c r="P103" s="1">
        <v>1</v>
      </c>
    </row>
    <row r="104" spans="1:16">
      <c r="A104" s="3">
        <v>23.5</v>
      </c>
      <c r="B104" s="3">
        <v>800</v>
      </c>
      <c r="C104" s="3">
        <v>800</v>
      </c>
      <c r="D104" s="3">
        <v>800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800</v>
      </c>
      <c r="P104" s="1">
        <v>1</v>
      </c>
    </row>
    <row r="105" spans="1:16">
      <c r="A105" s="3">
        <v>24</v>
      </c>
      <c r="B105" s="3">
        <v>4000</v>
      </c>
      <c r="C105" s="3">
        <v>4000</v>
      </c>
      <c r="D105" s="3">
        <v>4000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4000</v>
      </c>
      <c r="P105" s="1">
        <v>1</v>
      </c>
    </row>
    <row r="106" spans="1:16">
      <c r="A106" s="3">
        <v>25</v>
      </c>
      <c r="B106" s="3">
        <v>5600</v>
      </c>
      <c r="C106" s="3">
        <v>5600</v>
      </c>
      <c r="D106" s="3">
        <v>5600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5600</v>
      </c>
      <c r="P106" s="1">
        <v>1</v>
      </c>
    </row>
    <row r="107" spans="1:16">
      <c r="A107" s="3">
        <v>25.3</v>
      </c>
      <c r="B107" s="3">
        <v>1600</v>
      </c>
      <c r="C107" s="3">
        <v>1600</v>
      </c>
      <c r="D107" s="3">
        <v>1600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1600</v>
      </c>
      <c r="P107" s="1">
        <v>1</v>
      </c>
    </row>
    <row r="108" spans="1:16">
      <c r="A108" s="3">
        <v>25.6</v>
      </c>
      <c r="B108" s="3">
        <v>800</v>
      </c>
      <c r="C108" s="3">
        <v>800</v>
      </c>
      <c r="D108" s="3">
        <v>800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800</v>
      </c>
      <c r="P108" s="1">
        <v>1</v>
      </c>
    </row>
    <row r="109" spans="1:16">
      <c r="A109" s="3">
        <v>26</v>
      </c>
      <c r="B109" s="3">
        <v>2400</v>
      </c>
      <c r="C109" s="3">
        <v>2400</v>
      </c>
      <c r="D109" s="3">
        <v>2400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2400</v>
      </c>
      <c r="P109" s="1">
        <v>1</v>
      </c>
    </row>
    <row r="110" spans="1:16">
      <c r="A110" s="3">
        <v>26.3</v>
      </c>
      <c r="B110" s="3">
        <v>800</v>
      </c>
      <c r="C110" s="3">
        <v>800</v>
      </c>
      <c r="D110" s="3">
        <v>800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800</v>
      </c>
      <c r="P110" s="1">
        <v>1</v>
      </c>
    </row>
    <row r="111" spans="1:16">
      <c r="A111" s="3">
        <v>26.5</v>
      </c>
      <c r="B111" s="3">
        <v>800</v>
      </c>
      <c r="C111" s="3">
        <v>800</v>
      </c>
      <c r="D111" s="3">
        <v>800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800</v>
      </c>
      <c r="P111" s="1">
        <v>1</v>
      </c>
    </row>
    <row r="112" spans="1:16">
      <c r="A112" s="3">
        <v>27</v>
      </c>
      <c r="B112" s="3">
        <v>800</v>
      </c>
      <c r="C112" s="3">
        <v>800</v>
      </c>
      <c r="D112" s="3">
        <v>800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800</v>
      </c>
      <c r="P112" s="1">
        <v>1</v>
      </c>
    </row>
    <row r="113" spans="1:16">
      <c r="A113" s="3">
        <v>28</v>
      </c>
      <c r="B113" s="3">
        <v>1600</v>
      </c>
      <c r="C113" s="3">
        <v>1600</v>
      </c>
      <c r="D113" s="3">
        <v>1600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1600</v>
      </c>
      <c r="P113" s="1">
        <v>1</v>
      </c>
    </row>
    <row r="114" spans="1:16">
      <c r="A114" s="3">
        <v>29</v>
      </c>
      <c r="B114" s="3">
        <v>800</v>
      </c>
      <c r="C114" s="3">
        <v>800</v>
      </c>
      <c r="D114" s="3">
        <v>800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800</v>
      </c>
      <c r="P114" s="1">
        <v>1</v>
      </c>
    </row>
    <row r="115" spans="1:16">
      <c r="A115" s="3">
        <v>30</v>
      </c>
      <c r="B115" s="3">
        <v>30400</v>
      </c>
      <c r="C115" s="3">
        <v>30400</v>
      </c>
      <c r="D115" s="3">
        <v>20000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30400</v>
      </c>
      <c r="P115" s="1">
        <v>1</v>
      </c>
    </row>
    <row r="116" spans="1:16">
      <c r="A116" s="3">
        <v>30.3</v>
      </c>
      <c r="B116" s="3">
        <v>3111</v>
      </c>
      <c r="C116" s="3">
        <v>3111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3111</v>
      </c>
      <c r="P116" s="1">
        <v>1</v>
      </c>
    </row>
    <row r="117" spans="1:16">
      <c r="A117" s="3">
        <v>30.5</v>
      </c>
      <c r="B117" s="3">
        <v>4977</v>
      </c>
      <c r="C117" s="3">
        <v>4977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4977</v>
      </c>
      <c r="P117" s="1">
        <v>1</v>
      </c>
    </row>
    <row r="118" spans="1:16">
      <c r="A118" s="3">
        <v>30.6</v>
      </c>
      <c r="B118" s="3">
        <v>2488</v>
      </c>
      <c r="C118" s="3">
        <v>2488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2488</v>
      </c>
      <c r="P118" s="1">
        <v>1</v>
      </c>
    </row>
    <row r="119" spans="1:16">
      <c r="A119" s="3">
        <v>31</v>
      </c>
      <c r="B119" s="3">
        <v>6222</v>
      </c>
      <c r="C119" s="3">
        <v>6222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6222</v>
      </c>
      <c r="P119" s="1">
        <v>1</v>
      </c>
    </row>
    <row r="120" spans="1:16">
      <c r="A120" s="3">
        <v>31.5</v>
      </c>
      <c r="B120" s="3">
        <v>1866</v>
      </c>
      <c r="C120" s="3">
        <v>1866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1866</v>
      </c>
      <c r="P120" s="1">
        <v>1</v>
      </c>
    </row>
    <row r="121" spans="1:16">
      <c r="A121" s="3">
        <v>32</v>
      </c>
      <c r="B121" s="3">
        <v>6222</v>
      </c>
      <c r="C121" s="3">
        <v>6222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6222</v>
      </c>
      <c r="P121" s="1">
        <v>1</v>
      </c>
    </row>
    <row r="122" spans="1:16">
      <c r="A122" s="3">
        <v>33</v>
      </c>
      <c r="B122" s="3">
        <v>1244</v>
      </c>
      <c r="C122" s="3">
        <v>1244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1244</v>
      </c>
      <c r="P122" s="1">
        <v>1</v>
      </c>
    </row>
    <row r="123" spans="1:16">
      <c r="A123" s="3">
        <v>35</v>
      </c>
      <c r="B123" s="3">
        <v>8088</v>
      </c>
      <c r="C123" s="3">
        <v>8088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8088</v>
      </c>
      <c r="P123" s="1">
        <v>1</v>
      </c>
    </row>
    <row r="124" spans="1:16">
      <c r="A124" s="3">
        <v>35.3</v>
      </c>
      <c r="B124" s="3">
        <v>622</v>
      </c>
      <c r="C124" s="3">
        <v>622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622</v>
      </c>
      <c r="P124" s="1">
        <v>1</v>
      </c>
    </row>
    <row r="125" spans="1:16">
      <c r="A125" s="3">
        <v>35.5</v>
      </c>
      <c r="B125" s="3">
        <v>4977</v>
      </c>
      <c r="C125" s="3">
        <v>4977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4977</v>
      </c>
      <c r="P125" s="1">
        <v>1</v>
      </c>
    </row>
    <row r="126" spans="1:16">
      <c r="A126" s="3">
        <v>36</v>
      </c>
      <c r="B126" s="3">
        <v>2488</v>
      </c>
      <c r="C126" s="3">
        <v>2488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2488</v>
      </c>
      <c r="P126" s="1">
        <v>1</v>
      </c>
    </row>
    <row r="127" spans="1:16">
      <c r="A127" s="3">
        <v>39</v>
      </c>
      <c r="B127" s="3">
        <v>1244</v>
      </c>
      <c r="C127" s="3">
        <v>1244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1244</v>
      </c>
      <c r="P127" s="1">
        <v>1</v>
      </c>
    </row>
    <row r="128" spans="1:16">
      <c r="A128" s="3">
        <v>40</v>
      </c>
      <c r="B128" s="3">
        <v>12444</v>
      </c>
      <c r="C128" s="3">
        <v>2290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12444</v>
      </c>
      <c r="P128" s="1">
        <v>1</v>
      </c>
    </row>
    <row r="129" spans="1:16">
      <c r="A129" s="3">
        <v>40.3</v>
      </c>
      <c r="B129" s="3">
        <v>1000</v>
      </c>
      <c r="C129" s="3">
        <v>1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1000</v>
      </c>
      <c r="P129" s="1">
        <v>1</v>
      </c>
    </row>
    <row r="130" spans="1:16">
      <c r="A130" s="3">
        <v>40.6</v>
      </c>
      <c r="B130" s="3">
        <v>1000</v>
      </c>
      <c r="C130" s="3">
        <v>1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1000</v>
      </c>
      <c r="P130" s="1">
        <v>1</v>
      </c>
    </row>
    <row r="131" spans="1:16">
      <c r="A131" s="3">
        <v>41</v>
      </c>
      <c r="B131" s="3">
        <v>1000</v>
      </c>
      <c r="C131" s="3">
        <v>1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1000</v>
      </c>
      <c r="P131" s="1">
        <v>1</v>
      </c>
    </row>
    <row r="132" spans="1:16">
      <c r="A132" s="3">
        <v>41.5</v>
      </c>
      <c r="B132" s="3">
        <v>1000</v>
      </c>
      <c r="C132" s="3">
        <v>1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1000</v>
      </c>
      <c r="P132" s="1">
        <v>1</v>
      </c>
    </row>
    <row r="133" spans="1:16">
      <c r="A133" s="3">
        <v>42</v>
      </c>
      <c r="B133" s="3">
        <v>1000</v>
      </c>
      <c r="C133" s="3">
        <v>1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1000</v>
      </c>
      <c r="P133" s="1">
        <v>1</v>
      </c>
    </row>
    <row r="134" spans="1:16">
      <c r="A134" s="3">
        <v>44</v>
      </c>
      <c r="B134" s="3">
        <v>1000</v>
      </c>
      <c r="C134" s="3">
        <v>1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1000</v>
      </c>
      <c r="P134" s="1">
        <v>1</v>
      </c>
    </row>
    <row r="135" spans="1:16">
      <c r="A135" s="3">
        <v>45</v>
      </c>
      <c r="B135" s="3">
        <v>1000</v>
      </c>
      <c r="C135" s="3">
        <v>1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1000</v>
      </c>
      <c r="P135" s="1">
        <v>1</v>
      </c>
    </row>
    <row r="136" spans="1:16">
      <c r="A136" s="3">
        <v>45.3</v>
      </c>
      <c r="B136" s="3">
        <v>1000</v>
      </c>
      <c r="C136" s="3">
        <v>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1000</v>
      </c>
      <c r="P136" s="1">
        <v>1</v>
      </c>
    </row>
    <row r="137" spans="1:16">
      <c r="A137" s="3">
        <v>50</v>
      </c>
      <c r="B137" s="3">
        <v>12000</v>
      </c>
      <c r="C137" s="3">
        <v>1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12000</v>
      </c>
      <c r="P137" s="1">
        <v>1</v>
      </c>
    </row>
    <row r="138" spans="1:16">
      <c r="A138" s="3">
        <v>50.5</v>
      </c>
      <c r="B138" s="3">
        <v>2666</v>
      </c>
      <c r="C138" s="3">
        <v>1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2666</v>
      </c>
      <c r="P138" s="1">
        <v>1</v>
      </c>
    </row>
    <row r="139" spans="1:16">
      <c r="A139" s="3">
        <v>60</v>
      </c>
      <c r="B139" s="3">
        <v>5333</v>
      </c>
      <c r="C139" s="3">
        <v>1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5333</v>
      </c>
      <c r="P139" s="1">
        <v>1</v>
      </c>
    </row>
    <row r="140" spans="1:16">
      <c r="A140" s="3">
        <v>100</v>
      </c>
      <c r="B140" s="3">
        <v>100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100</v>
      </c>
      <c r="P140" s="1">
        <v>1</v>
      </c>
    </row>
    <row r="141" spans="1:16">
      <c r="A141" s="3">
        <v>100.3</v>
      </c>
      <c r="B141" s="3">
        <v>50</v>
      </c>
      <c r="C141" s="3">
        <v>1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50</v>
      </c>
      <c r="P141" s="1">
        <v>1</v>
      </c>
    </row>
    <row r="142" spans="1:16">
      <c r="A142" s="3">
        <v>200</v>
      </c>
      <c r="B142" s="3">
        <v>20</v>
      </c>
      <c r="C142" s="3">
        <v>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20</v>
      </c>
      <c r="P142" s="1">
        <v>1</v>
      </c>
    </row>
    <row r="143" spans="1:16">
      <c r="A143" s="3">
        <v>245</v>
      </c>
      <c r="B143" s="3">
        <v>20</v>
      </c>
      <c r="C143" s="3">
        <v>1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20</v>
      </c>
      <c r="P143" s="1">
        <v>1</v>
      </c>
    </row>
    <row r="144" spans="1:16">
      <c r="A144" s="3">
        <v>380</v>
      </c>
      <c r="B144" s="3">
        <v>6</v>
      </c>
      <c r="C144" s="3">
        <v>1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6</v>
      </c>
      <c r="P144" s="1">
        <v>1</v>
      </c>
    </row>
    <row r="145" spans="1:16">
      <c r="A145" s="3">
        <v>480</v>
      </c>
      <c r="B145" s="3">
        <v>6</v>
      </c>
      <c r="C145" s="3">
        <v>1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6</v>
      </c>
      <c r="P145" s="1">
        <v>1</v>
      </c>
    </row>
    <row r="146" spans="1:16">
      <c r="A146" s="3">
        <v>500</v>
      </c>
      <c r="B146" s="3">
        <v>6</v>
      </c>
      <c r="C146" s="3">
        <v>1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6</v>
      </c>
      <c r="P146" s="1">
        <v>1</v>
      </c>
    </row>
    <row r="147" spans="1:16">
      <c r="A147" s="3">
        <v>650</v>
      </c>
      <c r="B147" s="3">
        <v>20</v>
      </c>
      <c r="C147" s="3">
        <v>1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20</v>
      </c>
      <c r="P147" s="1">
        <v>1</v>
      </c>
    </row>
    <row r="148" spans="1:16">
      <c r="A148" s="3">
        <v>1100</v>
      </c>
      <c r="B148" s="3">
        <v>5</v>
      </c>
      <c r="C148" s="3">
        <v>1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5</v>
      </c>
      <c r="P148" s="1">
        <v>1</v>
      </c>
    </row>
    <row r="149" spans="1:16">
      <c r="A149" s="3">
        <v>2000</v>
      </c>
      <c r="B149" s="3">
        <v>5</v>
      </c>
      <c r="C149" s="3">
        <v>1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5</v>
      </c>
      <c r="P149" s="1">
        <v>1</v>
      </c>
    </row>
  </sheetData>
  <conditionalFormatting sqref="A712:A1717">
    <cfRule type="duplicateValues" dxfId="0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2"/>
  <sheetViews>
    <sheetView workbookViewId="0">
      <pane ySplit="2" topLeftCell="A3" activePane="bottomLeft" state="frozen"/>
      <selection/>
      <selection pane="bottomLeft" activeCell="G31" sqref="G31"/>
    </sheetView>
  </sheetViews>
  <sheetFormatPr defaultColWidth="8.88888888888889" defaultRowHeight="13.8"/>
  <cols>
    <col min="1" max="1" width="9"/>
    <col min="2" max="7" width="8.88888888888889" style="1"/>
  </cols>
  <sheetData>
    <row r="1" spans="1:16">
      <c r="A1" t="s">
        <v>34</v>
      </c>
      <c r="B1" s="2">
        <v>96</v>
      </c>
      <c r="C1" s="2">
        <v>92</v>
      </c>
      <c r="D1" s="2">
        <v>88</v>
      </c>
      <c r="E1" s="2">
        <v>84</v>
      </c>
      <c r="F1" s="2">
        <v>80</v>
      </c>
      <c r="G1">
        <v>70</v>
      </c>
      <c r="H1">
        <v>60</v>
      </c>
      <c r="I1">
        <v>50</v>
      </c>
      <c r="J1">
        <v>40</v>
      </c>
      <c r="K1">
        <v>30</v>
      </c>
      <c r="L1">
        <v>20</v>
      </c>
      <c r="M1">
        <v>10</v>
      </c>
      <c r="N1">
        <v>1</v>
      </c>
      <c r="O1">
        <v>100</v>
      </c>
      <c r="P1" s="1">
        <v>-1</v>
      </c>
    </row>
    <row r="2" spans="1:16">
      <c r="A2" s="3">
        <v>0.3</v>
      </c>
      <c r="B2" s="3">
        <v>5</v>
      </c>
      <c r="C2" s="3">
        <v>6</v>
      </c>
      <c r="D2" s="3">
        <v>6</v>
      </c>
      <c r="E2" s="3">
        <v>6</v>
      </c>
      <c r="F2" s="3">
        <v>6</v>
      </c>
      <c r="G2" s="3">
        <v>6</v>
      </c>
      <c r="H2" s="3">
        <v>6</v>
      </c>
      <c r="I2" s="3">
        <v>6</v>
      </c>
      <c r="J2" s="3">
        <v>6</v>
      </c>
      <c r="K2" s="3">
        <v>6</v>
      </c>
      <c r="L2" s="3">
        <v>6</v>
      </c>
      <c r="M2" s="3">
        <v>6</v>
      </c>
      <c r="N2" s="3">
        <v>6</v>
      </c>
      <c r="O2" s="3">
        <v>0</v>
      </c>
      <c r="P2" s="3">
        <v>1</v>
      </c>
    </row>
    <row r="3" spans="1:16">
      <c r="A3" s="3">
        <v>0.5</v>
      </c>
      <c r="B3" s="3">
        <v>5</v>
      </c>
      <c r="C3" s="3">
        <v>6</v>
      </c>
      <c r="D3" s="3">
        <v>6</v>
      </c>
      <c r="E3" s="3">
        <v>6</v>
      </c>
      <c r="F3" s="3">
        <v>6</v>
      </c>
      <c r="G3" s="3">
        <v>6</v>
      </c>
      <c r="H3" s="3">
        <v>6</v>
      </c>
      <c r="I3" s="3">
        <v>6</v>
      </c>
      <c r="J3" s="3">
        <v>6</v>
      </c>
      <c r="K3" s="3">
        <v>6</v>
      </c>
      <c r="L3" s="3">
        <v>6</v>
      </c>
      <c r="M3" s="3">
        <v>6</v>
      </c>
      <c r="N3" s="3">
        <v>6</v>
      </c>
      <c r="O3" s="3">
        <v>0</v>
      </c>
      <c r="P3" s="3">
        <v>1</v>
      </c>
    </row>
    <row r="4" spans="1:16">
      <c r="A4" s="3">
        <v>0.6</v>
      </c>
      <c r="B4" s="3">
        <v>5</v>
      </c>
      <c r="C4" s="3">
        <v>6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1</v>
      </c>
      <c r="O4" s="3">
        <v>0</v>
      </c>
      <c r="P4" s="3">
        <v>1</v>
      </c>
    </row>
    <row r="5" spans="1:16">
      <c r="A5" s="3">
        <v>0.9</v>
      </c>
      <c r="B5" s="3">
        <v>5</v>
      </c>
      <c r="C5" s="3">
        <v>6</v>
      </c>
      <c r="D5" s="3">
        <v>6</v>
      </c>
      <c r="E5" s="3">
        <v>6</v>
      </c>
      <c r="F5" s="3">
        <v>6</v>
      </c>
      <c r="G5" s="3">
        <v>6</v>
      </c>
      <c r="H5" s="3">
        <v>6</v>
      </c>
      <c r="I5" s="3">
        <v>6</v>
      </c>
      <c r="J5" s="3">
        <v>6</v>
      </c>
      <c r="K5" s="3">
        <v>6</v>
      </c>
      <c r="L5" s="3">
        <v>6</v>
      </c>
      <c r="M5" s="3">
        <v>6</v>
      </c>
      <c r="N5" s="3">
        <v>0</v>
      </c>
      <c r="O5" s="3">
        <v>0</v>
      </c>
      <c r="P5" s="3">
        <v>1</v>
      </c>
    </row>
    <row r="6" spans="1:16">
      <c r="A6" s="3">
        <v>1</v>
      </c>
      <c r="B6" s="3">
        <v>5</v>
      </c>
      <c r="C6" s="3">
        <v>6</v>
      </c>
      <c r="D6" s="3">
        <v>6</v>
      </c>
      <c r="E6" s="3">
        <v>6</v>
      </c>
      <c r="F6" s="3">
        <v>6</v>
      </c>
      <c r="G6" s="3">
        <v>6</v>
      </c>
      <c r="H6" s="3">
        <v>6</v>
      </c>
      <c r="I6" s="3">
        <v>6</v>
      </c>
      <c r="J6" s="3">
        <v>6</v>
      </c>
      <c r="K6" s="3">
        <v>6</v>
      </c>
      <c r="L6" s="3">
        <v>6</v>
      </c>
      <c r="M6" s="3">
        <v>6</v>
      </c>
      <c r="N6" s="3">
        <v>0</v>
      </c>
      <c r="O6" s="3">
        <v>0</v>
      </c>
      <c r="P6" s="3">
        <v>1</v>
      </c>
    </row>
    <row r="7" spans="1:16">
      <c r="A7" s="3">
        <v>1.2</v>
      </c>
      <c r="B7" s="3">
        <v>5</v>
      </c>
      <c r="C7" s="3">
        <v>5</v>
      </c>
      <c r="D7" s="3">
        <v>5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0</v>
      </c>
      <c r="O7" s="3">
        <v>0</v>
      </c>
      <c r="P7" s="3">
        <v>1</v>
      </c>
    </row>
    <row r="8" spans="1:16">
      <c r="A8" s="3">
        <v>1.3</v>
      </c>
      <c r="B8" s="3">
        <v>5</v>
      </c>
      <c r="C8" s="3">
        <v>5</v>
      </c>
      <c r="D8" s="3">
        <v>5</v>
      </c>
      <c r="E8" s="3">
        <v>5</v>
      </c>
      <c r="F8" s="3">
        <v>5</v>
      </c>
      <c r="G8" s="3">
        <v>5</v>
      </c>
      <c r="H8" s="3">
        <v>5</v>
      </c>
      <c r="I8" s="3">
        <v>5</v>
      </c>
      <c r="J8" s="3">
        <v>5</v>
      </c>
      <c r="K8" s="3">
        <v>5</v>
      </c>
      <c r="L8" s="3">
        <v>5</v>
      </c>
      <c r="M8" s="3">
        <v>5</v>
      </c>
      <c r="N8" s="3">
        <v>0</v>
      </c>
      <c r="O8" s="3">
        <v>0</v>
      </c>
      <c r="P8" s="3">
        <v>1</v>
      </c>
    </row>
    <row r="9" spans="1:16">
      <c r="A9" s="3">
        <v>1.5</v>
      </c>
      <c r="B9" s="3">
        <v>8</v>
      </c>
      <c r="C9" s="3">
        <v>5</v>
      </c>
      <c r="D9" s="3">
        <v>5</v>
      </c>
      <c r="E9" s="3">
        <v>5</v>
      </c>
      <c r="F9" s="3">
        <v>5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0</v>
      </c>
      <c r="O9" s="3">
        <v>0</v>
      </c>
      <c r="P9" s="3">
        <v>1</v>
      </c>
    </row>
    <row r="10" spans="1:16">
      <c r="A10" s="3">
        <v>1.8</v>
      </c>
      <c r="B10" s="3">
        <v>10</v>
      </c>
      <c r="C10" s="3">
        <v>5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0</v>
      </c>
      <c r="O10" s="3">
        <v>0</v>
      </c>
      <c r="P10" s="3">
        <v>1</v>
      </c>
    </row>
    <row r="11" spans="1:16">
      <c r="A11" s="3">
        <v>2</v>
      </c>
      <c r="B11" s="3">
        <v>10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0</v>
      </c>
      <c r="O11" s="3">
        <v>0</v>
      </c>
      <c r="P11" s="3">
        <v>1</v>
      </c>
    </row>
    <row r="12" spans="1:16">
      <c r="A12" s="3">
        <v>2.2</v>
      </c>
      <c r="B12" s="3">
        <v>10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5</v>
      </c>
      <c r="M12" s="3">
        <v>5</v>
      </c>
      <c r="N12" s="3">
        <v>0</v>
      </c>
      <c r="O12" s="3">
        <v>0</v>
      </c>
      <c r="P12" s="3">
        <v>1</v>
      </c>
    </row>
    <row r="13" spans="1:16">
      <c r="A13" s="3">
        <v>2.3</v>
      </c>
      <c r="B13" s="3">
        <v>10</v>
      </c>
      <c r="C13" s="3">
        <v>5</v>
      </c>
      <c r="D13" s="3">
        <v>5</v>
      </c>
      <c r="E13" s="3">
        <v>5</v>
      </c>
      <c r="F13" s="3">
        <v>5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0</v>
      </c>
      <c r="O13" s="3">
        <v>0</v>
      </c>
      <c r="P13" s="3">
        <v>1</v>
      </c>
    </row>
    <row r="14" spans="1:16">
      <c r="A14" s="3">
        <v>2.4</v>
      </c>
      <c r="B14" s="3">
        <v>10</v>
      </c>
      <c r="C14" s="3">
        <v>5</v>
      </c>
      <c r="D14" s="3">
        <v>5</v>
      </c>
      <c r="E14" s="3">
        <v>5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>
        <v>5</v>
      </c>
      <c r="M14" s="3">
        <v>5</v>
      </c>
      <c r="N14" s="3">
        <v>0</v>
      </c>
      <c r="O14" s="3">
        <v>0</v>
      </c>
      <c r="P14" s="3">
        <v>1</v>
      </c>
    </row>
    <row r="15" spans="1:16">
      <c r="A15" s="3">
        <v>2.5</v>
      </c>
      <c r="B15" s="3">
        <v>10</v>
      </c>
      <c r="C15" s="3">
        <v>5</v>
      </c>
      <c r="D15" s="3">
        <v>5</v>
      </c>
      <c r="E15" s="3">
        <v>5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0</v>
      </c>
      <c r="O15" s="3">
        <v>0</v>
      </c>
      <c r="P15" s="3">
        <v>1</v>
      </c>
    </row>
    <row r="16" spans="1:16">
      <c r="A16" s="3">
        <v>2.6</v>
      </c>
      <c r="B16" s="3">
        <v>10</v>
      </c>
      <c r="C16" s="3">
        <v>5</v>
      </c>
      <c r="D16" s="3">
        <v>5</v>
      </c>
      <c r="E16" s="3">
        <v>5</v>
      </c>
      <c r="F16" s="3">
        <v>5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0</v>
      </c>
      <c r="O16" s="3">
        <v>0</v>
      </c>
      <c r="P16" s="3">
        <v>1</v>
      </c>
    </row>
    <row r="17" spans="1:16">
      <c r="A17" s="3">
        <v>2.7</v>
      </c>
      <c r="B17" s="3">
        <v>10</v>
      </c>
      <c r="C17" s="3">
        <v>5</v>
      </c>
      <c r="D17" s="3">
        <v>5</v>
      </c>
      <c r="E17" s="3">
        <v>5</v>
      </c>
      <c r="F17" s="3">
        <v>5</v>
      </c>
      <c r="G17" s="3">
        <v>5</v>
      </c>
      <c r="H17" s="3">
        <v>5</v>
      </c>
      <c r="I17" s="3">
        <v>5</v>
      </c>
      <c r="J17" s="3">
        <v>5</v>
      </c>
      <c r="K17" s="3">
        <v>5</v>
      </c>
      <c r="L17" s="3">
        <v>5</v>
      </c>
      <c r="M17" s="3">
        <v>5</v>
      </c>
      <c r="N17" s="3">
        <v>0</v>
      </c>
      <c r="O17" s="3">
        <v>1</v>
      </c>
      <c r="P17" s="3">
        <v>1</v>
      </c>
    </row>
    <row r="18" spans="1:16">
      <c r="A18" s="3">
        <v>3</v>
      </c>
      <c r="B18" s="3">
        <v>10</v>
      </c>
      <c r="C18" s="3">
        <v>7</v>
      </c>
      <c r="D18" s="3">
        <v>7</v>
      </c>
      <c r="E18" s="3">
        <v>7</v>
      </c>
      <c r="F18" s="3">
        <v>7</v>
      </c>
      <c r="G18" s="3">
        <v>7</v>
      </c>
      <c r="H18" s="3">
        <v>7</v>
      </c>
      <c r="I18" s="3">
        <v>7</v>
      </c>
      <c r="J18" s="3">
        <v>7</v>
      </c>
      <c r="K18" s="3">
        <v>7</v>
      </c>
      <c r="L18" s="3">
        <v>7</v>
      </c>
      <c r="M18" s="3">
        <v>7</v>
      </c>
      <c r="N18" s="3">
        <v>0</v>
      </c>
      <c r="O18" s="3">
        <v>5</v>
      </c>
      <c r="P18" s="3">
        <v>1</v>
      </c>
    </row>
    <row r="19" spans="1:16">
      <c r="A19" s="3">
        <v>3.5</v>
      </c>
      <c r="B19" s="3">
        <v>10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0</v>
      </c>
      <c r="O19" s="3">
        <v>5</v>
      </c>
      <c r="P19" s="3">
        <v>1</v>
      </c>
    </row>
    <row r="20" spans="1:16">
      <c r="A20" s="3">
        <v>4</v>
      </c>
      <c r="B20" s="3">
        <v>10</v>
      </c>
      <c r="C20" s="3">
        <v>30</v>
      </c>
      <c r="D20" s="3">
        <v>30</v>
      </c>
      <c r="E20" s="3">
        <v>30</v>
      </c>
      <c r="F20" s="3">
        <v>30</v>
      </c>
      <c r="G20" s="3">
        <v>30</v>
      </c>
      <c r="H20" s="3">
        <v>30</v>
      </c>
      <c r="I20" s="3">
        <v>30</v>
      </c>
      <c r="J20" s="3">
        <v>30</v>
      </c>
      <c r="K20" s="3">
        <v>30</v>
      </c>
      <c r="L20" s="3">
        <v>30</v>
      </c>
      <c r="M20" s="3">
        <v>30</v>
      </c>
      <c r="N20" s="3">
        <v>0</v>
      </c>
      <c r="O20" s="3">
        <v>5</v>
      </c>
      <c r="P20" s="3">
        <v>1</v>
      </c>
    </row>
    <row r="21" spans="1:16">
      <c r="A21" s="3">
        <v>4.5</v>
      </c>
      <c r="B21" s="3">
        <v>10</v>
      </c>
      <c r="C21" s="3">
        <v>15</v>
      </c>
      <c r="D21" s="3">
        <v>15</v>
      </c>
      <c r="E21" s="3">
        <v>15</v>
      </c>
      <c r="F21" s="3">
        <v>15</v>
      </c>
      <c r="G21" s="3">
        <v>15</v>
      </c>
      <c r="H21" s="3">
        <v>15</v>
      </c>
      <c r="I21" s="3">
        <v>15</v>
      </c>
      <c r="J21" s="3">
        <v>15</v>
      </c>
      <c r="K21" s="3">
        <v>15</v>
      </c>
      <c r="L21" s="3">
        <v>15</v>
      </c>
      <c r="M21" s="3">
        <v>15</v>
      </c>
      <c r="N21" s="3">
        <v>0</v>
      </c>
      <c r="O21" s="3">
        <v>5</v>
      </c>
      <c r="P21" s="3">
        <v>1</v>
      </c>
    </row>
    <row r="22" spans="1:16">
      <c r="A22" s="3">
        <v>5</v>
      </c>
      <c r="B22" s="3">
        <v>10</v>
      </c>
      <c r="C22" s="3">
        <v>50</v>
      </c>
      <c r="D22" s="3">
        <v>50</v>
      </c>
      <c r="E22" s="3">
        <v>50</v>
      </c>
      <c r="F22" s="3">
        <v>50</v>
      </c>
      <c r="G22" s="3">
        <v>50</v>
      </c>
      <c r="H22" s="3">
        <v>50</v>
      </c>
      <c r="I22" s="3">
        <v>50</v>
      </c>
      <c r="J22" s="3">
        <v>50</v>
      </c>
      <c r="K22" s="3">
        <v>50</v>
      </c>
      <c r="L22" s="3">
        <v>50</v>
      </c>
      <c r="M22" s="3">
        <v>50</v>
      </c>
      <c r="N22" s="3">
        <v>0</v>
      </c>
      <c r="O22" s="3">
        <v>5</v>
      </c>
      <c r="P22" s="3">
        <v>1</v>
      </c>
    </row>
    <row r="23" spans="1:16">
      <c r="A23" s="3">
        <v>6</v>
      </c>
      <c r="B23" s="3">
        <v>10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26</v>
      </c>
      <c r="N23" s="3">
        <v>0</v>
      </c>
      <c r="O23" s="3">
        <v>5</v>
      </c>
      <c r="P23" s="3">
        <v>1</v>
      </c>
    </row>
    <row r="24" spans="1:16">
      <c r="A24" s="3">
        <v>6.3</v>
      </c>
      <c r="B24" s="3">
        <v>10</v>
      </c>
      <c r="C24" s="3">
        <v>20</v>
      </c>
      <c r="D24" s="3">
        <v>20</v>
      </c>
      <c r="E24" s="3">
        <v>20</v>
      </c>
      <c r="F24" s="3">
        <v>20</v>
      </c>
      <c r="G24" s="3">
        <v>20</v>
      </c>
      <c r="H24" s="3">
        <v>20</v>
      </c>
      <c r="I24" s="3">
        <v>20</v>
      </c>
      <c r="J24" s="3">
        <v>20</v>
      </c>
      <c r="K24" s="3">
        <v>20</v>
      </c>
      <c r="L24" s="3">
        <v>20</v>
      </c>
      <c r="M24" s="3">
        <v>0</v>
      </c>
      <c r="N24" s="3">
        <v>0</v>
      </c>
      <c r="O24" s="3">
        <v>5</v>
      </c>
      <c r="P24" s="3">
        <v>1</v>
      </c>
    </row>
    <row r="25" spans="1:16">
      <c r="A25" s="3">
        <v>6.5</v>
      </c>
      <c r="B25" s="3">
        <v>10</v>
      </c>
      <c r="C25" s="3">
        <v>10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0</v>
      </c>
      <c r="N25" s="3">
        <v>0</v>
      </c>
      <c r="O25" s="3">
        <v>5</v>
      </c>
      <c r="P25" s="3">
        <v>1</v>
      </c>
    </row>
    <row r="26" spans="1:16">
      <c r="A26" s="3">
        <v>7</v>
      </c>
      <c r="B26" s="3">
        <v>20</v>
      </c>
      <c r="C26" s="3">
        <v>20</v>
      </c>
      <c r="D26" s="3">
        <v>20</v>
      </c>
      <c r="E26" s="3">
        <v>20</v>
      </c>
      <c r="F26" s="3">
        <v>20</v>
      </c>
      <c r="G26" s="3">
        <v>20</v>
      </c>
      <c r="H26" s="3">
        <v>20</v>
      </c>
      <c r="I26" s="3">
        <v>20</v>
      </c>
      <c r="J26" s="3">
        <v>20</v>
      </c>
      <c r="K26" s="3">
        <v>20</v>
      </c>
      <c r="L26" s="3">
        <v>20</v>
      </c>
      <c r="M26" s="3">
        <v>0</v>
      </c>
      <c r="N26" s="3">
        <v>0</v>
      </c>
      <c r="O26" s="3">
        <v>5</v>
      </c>
      <c r="P26" s="3">
        <v>1</v>
      </c>
    </row>
    <row r="27" spans="1:16">
      <c r="A27" s="3">
        <v>7.5</v>
      </c>
      <c r="B27" s="3">
        <v>10</v>
      </c>
      <c r="C27" s="3">
        <v>10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0</v>
      </c>
      <c r="N27" s="3">
        <v>0</v>
      </c>
      <c r="O27" s="3">
        <v>5</v>
      </c>
      <c r="P27" s="3">
        <v>1</v>
      </c>
    </row>
    <row r="28" spans="1:16">
      <c r="A28" s="3">
        <v>8</v>
      </c>
      <c r="B28" s="3">
        <v>240</v>
      </c>
      <c r="C28" s="3">
        <v>240</v>
      </c>
      <c r="D28" s="3">
        <v>240</v>
      </c>
      <c r="E28" s="3">
        <v>240</v>
      </c>
      <c r="F28" s="3">
        <v>240</v>
      </c>
      <c r="G28" s="3">
        <v>240</v>
      </c>
      <c r="H28" s="3">
        <v>240</v>
      </c>
      <c r="I28" s="3">
        <v>240</v>
      </c>
      <c r="J28" s="3">
        <v>240</v>
      </c>
      <c r="K28" s="3">
        <v>240</v>
      </c>
      <c r="L28" s="3">
        <v>240</v>
      </c>
      <c r="M28" s="3">
        <v>0</v>
      </c>
      <c r="N28" s="3">
        <v>0</v>
      </c>
      <c r="O28" s="3">
        <v>120</v>
      </c>
      <c r="P28" s="3">
        <v>1</v>
      </c>
    </row>
    <row r="29" spans="1:16">
      <c r="A29" s="3">
        <v>9</v>
      </c>
      <c r="B29" s="3">
        <v>60</v>
      </c>
      <c r="C29" s="3">
        <v>60</v>
      </c>
      <c r="D29" s="3">
        <v>60</v>
      </c>
      <c r="E29" s="3">
        <v>60</v>
      </c>
      <c r="F29" s="3">
        <v>60</v>
      </c>
      <c r="G29" s="3">
        <v>60</v>
      </c>
      <c r="H29" s="3">
        <v>60</v>
      </c>
      <c r="I29" s="3">
        <v>60</v>
      </c>
      <c r="J29" s="3">
        <v>60</v>
      </c>
      <c r="K29" s="3">
        <v>60</v>
      </c>
      <c r="L29" s="3">
        <v>60</v>
      </c>
      <c r="M29" s="3">
        <v>0</v>
      </c>
      <c r="N29" s="3">
        <v>0</v>
      </c>
      <c r="O29" s="3">
        <v>60</v>
      </c>
      <c r="P29" s="3">
        <v>1</v>
      </c>
    </row>
    <row r="30" spans="1:16">
      <c r="A30" s="3">
        <v>10</v>
      </c>
      <c r="B30" s="3">
        <v>240</v>
      </c>
      <c r="C30" s="3">
        <v>240</v>
      </c>
      <c r="D30" s="3">
        <v>240</v>
      </c>
      <c r="E30" s="3">
        <v>240</v>
      </c>
      <c r="F30" s="3">
        <v>240</v>
      </c>
      <c r="G30" s="3">
        <v>240</v>
      </c>
      <c r="H30" s="3">
        <v>240</v>
      </c>
      <c r="I30" s="3">
        <v>240</v>
      </c>
      <c r="J30" s="3">
        <v>240</v>
      </c>
      <c r="K30" s="3">
        <v>240</v>
      </c>
      <c r="L30" s="3">
        <v>150</v>
      </c>
      <c r="M30" s="3">
        <v>0</v>
      </c>
      <c r="N30" s="3">
        <v>0</v>
      </c>
      <c r="O30" s="3">
        <v>240</v>
      </c>
      <c r="P30" s="3">
        <v>1</v>
      </c>
    </row>
    <row r="31" spans="1:16">
      <c r="A31" s="3">
        <v>10.3</v>
      </c>
      <c r="B31" s="3">
        <v>110</v>
      </c>
      <c r="C31" s="3">
        <v>110</v>
      </c>
      <c r="D31" s="3">
        <v>110</v>
      </c>
      <c r="E31" s="3">
        <v>110</v>
      </c>
      <c r="F31" s="3">
        <v>110</v>
      </c>
      <c r="G31" s="3">
        <v>110</v>
      </c>
      <c r="H31" s="3">
        <v>110</v>
      </c>
      <c r="I31" s="3">
        <v>110</v>
      </c>
      <c r="J31" s="3">
        <v>110</v>
      </c>
      <c r="K31" s="3">
        <v>110</v>
      </c>
      <c r="L31" s="3">
        <v>0</v>
      </c>
      <c r="M31" s="3">
        <v>0</v>
      </c>
      <c r="N31" s="3">
        <v>0</v>
      </c>
      <c r="O31" s="3">
        <v>110</v>
      </c>
      <c r="P31" s="3">
        <v>1</v>
      </c>
    </row>
    <row r="32" spans="1:16">
      <c r="A32" s="3">
        <v>10.5</v>
      </c>
      <c r="B32" s="3">
        <v>90</v>
      </c>
      <c r="C32" s="3">
        <v>90</v>
      </c>
      <c r="D32" s="3">
        <v>90</v>
      </c>
      <c r="E32" s="3">
        <v>90</v>
      </c>
      <c r="F32" s="3">
        <v>90</v>
      </c>
      <c r="G32" s="3">
        <v>90</v>
      </c>
      <c r="H32" s="3">
        <v>90</v>
      </c>
      <c r="I32" s="3">
        <v>90</v>
      </c>
      <c r="J32" s="3">
        <v>90</v>
      </c>
      <c r="K32" s="3">
        <v>90</v>
      </c>
      <c r="L32" s="3">
        <v>0</v>
      </c>
      <c r="M32" s="3">
        <v>0</v>
      </c>
      <c r="N32" s="3">
        <v>0</v>
      </c>
      <c r="O32" s="3">
        <v>90</v>
      </c>
      <c r="P32" s="3">
        <v>1</v>
      </c>
    </row>
    <row r="33" spans="1:16">
      <c r="A33" s="3">
        <v>10.6</v>
      </c>
      <c r="B33" s="3">
        <v>40</v>
      </c>
      <c r="C33" s="3">
        <v>40</v>
      </c>
      <c r="D33" s="3">
        <v>40</v>
      </c>
      <c r="E33" s="3">
        <v>40</v>
      </c>
      <c r="F33" s="3">
        <v>40</v>
      </c>
      <c r="G33" s="3">
        <v>40</v>
      </c>
      <c r="H33" s="3">
        <v>40</v>
      </c>
      <c r="I33" s="3">
        <v>40</v>
      </c>
      <c r="J33" s="3">
        <v>40</v>
      </c>
      <c r="K33" s="3">
        <v>40</v>
      </c>
      <c r="L33" s="3">
        <v>0</v>
      </c>
      <c r="M33" s="3">
        <v>0</v>
      </c>
      <c r="N33" s="3">
        <v>0</v>
      </c>
      <c r="O33" s="3">
        <v>40</v>
      </c>
      <c r="P33" s="3">
        <v>1</v>
      </c>
    </row>
    <row r="34" spans="1:16">
      <c r="A34" s="3">
        <v>10.8</v>
      </c>
      <c r="B34" s="3">
        <v>10</v>
      </c>
      <c r="C34" s="3">
        <v>10</v>
      </c>
      <c r="D34" s="3">
        <v>10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10</v>
      </c>
      <c r="K34" s="3">
        <v>10</v>
      </c>
      <c r="L34" s="3">
        <v>0</v>
      </c>
      <c r="M34" s="3">
        <v>0</v>
      </c>
      <c r="N34" s="3">
        <v>0</v>
      </c>
      <c r="O34" s="3">
        <v>10</v>
      </c>
      <c r="P34" s="3">
        <v>1</v>
      </c>
    </row>
    <row r="35" spans="1:16">
      <c r="A35" s="3">
        <v>11</v>
      </c>
      <c r="B35" s="3">
        <v>220</v>
      </c>
      <c r="C35" s="3">
        <v>220</v>
      </c>
      <c r="D35" s="3">
        <v>220</v>
      </c>
      <c r="E35" s="3">
        <v>220</v>
      </c>
      <c r="F35" s="3">
        <v>220</v>
      </c>
      <c r="G35" s="3">
        <v>220</v>
      </c>
      <c r="H35" s="3">
        <v>220</v>
      </c>
      <c r="I35" s="3">
        <v>220</v>
      </c>
      <c r="J35" s="3">
        <v>220</v>
      </c>
      <c r="K35" s="3">
        <v>220</v>
      </c>
      <c r="L35" s="3">
        <v>0</v>
      </c>
      <c r="M35" s="3">
        <v>0</v>
      </c>
      <c r="N35" s="3">
        <v>0</v>
      </c>
      <c r="O35" s="3">
        <v>220</v>
      </c>
      <c r="P35" s="3">
        <v>1</v>
      </c>
    </row>
    <row r="36" spans="1:16">
      <c r="A36" s="3">
        <v>11.2</v>
      </c>
      <c r="B36" s="3">
        <v>30</v>
      </c>
      <c r="C36" s="3">
        <v>30</v>
      </c>
      <c r="D36" s="3">
        <v>30</v>
      </c>
      <c r="E36" s="3">
        <v>30</v>
      </c>
      <c r="F36" s="3">
        <v>30</v>
      </c>
      <c r="G36" s="3">
        <v>30</v>
      </c>
      <c r="H36" s="3">
        <v>30</v>
      </c>
      <c r="I36" s="3">
        <v>30</v>
      </c>
      <c r="J36" s="3">
        <v>30</v>
      </c>
      <c r="K36" s="3">
        <v>30</v>
      </c>
      <c r="L36" s="3">
        <v>0</v>
      </c>
      <c r="M36" s="3">
        <v>0</v>
      </c>
      <c r="N36" s="3">
        <v>0</v>
      </c>
      <c r="O36" s="3">
        <v>30</v>
      </c>
      <c r="P36" s="3">
        <v>1</v>
      </c>
    </row>
    <row r="37" spans="1:16">
      <c r="A37" s="3">
        <v>11.5</v>
      </c>
      <c r="B37" s="3">
        <v>40</v>
      </c>
      <c r="C37" s="3">
        <v>40</v>
      </c>
      <c r="D37" s="3">
        <v>40</v>
      </c>
      <c r="E37" s="3">
        <v>40</v>
      </c>
      <c r="F37" s="3">
        <v>40</v>
      </c>
      <c r="G37" s="3">
        <v>40</v>
      </c>
      <c r="H37" s="3">
        <v>40</v>
      </c>
      <c r="I37" s="3">
        <v>40</v>
      </c>
      <c r="J37" s="3">
        <v>40</v>
      </c>
      <c r="K37" s="3">
        <v>40</v>
      </c>
      <c r="L37" s="3">
        <v>0</v>
      </c>
      <c r="M37" s="3">
        <v>0</v>
      </c>
      <c r="N37" s="3">
        <v>0</v>
      </c>
      <c r="O37" s="3">
        <v>40</v>
      </c>
      <c r="P37" s="3">
        <v>1</v>
      </c>
    </row>
    <row r="38" spans="1:16">
      <c r="A38" s="3">
        <v>11.8</v>
      </c>
      <c r="B38" s="3">
        <v>10</v>
      </c>
      <c r="C38" s="3">
        <v>10</v>
      </c>
      <c r="D38" s="3">
        <v>10</v>
      </c>
      <c r="E38" s="3">
        <v>10</v>
      </c>
      <c r="F38" s="3">
        <v>10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0</v>
      </c>
      <c r="M38" s="3">
        <v>0</v>
      </c>
      <c r="N38" s="3">
        <v>0</v>
      </c>
      <c r="O38" s="3">
        <v>10</v>
      </c>
      <c r="P38" s="3">
        <v>1</v>
      </c>
    </row>
    <row r="39" spans="1:16">
      <c r="A39" s="3">
        <v>12</v>
      </c>
      <c r="B39" s="3">
        <v>210</v>
      </c>
      <c r="C39" s="3">
        <v>210</v>
      </c>
      <c r="D39" s="3">
        <v>210</v>
      </c>
      <c r="E39" s="3">
        <v>210</v>
      </c>
      <c r="F39" s="3">
        <v>210</v>
      </c>
      <c r="G39" s="3">
        <v>210</v>
      </c>
      <c r="H39" s="3">
        <v>210</v>
      </c>
      <c r="I39" s="3">
        <v>210</v>
      </c>
      <c r="J39" s="3">
        <v>210</v>
      </c>
      <c r="K39" s="3">
        <v>210</v>
      </c>
      <c r="L39" s="3">
        <v>0</v>
      </c>
      <c r="M39" s="3">
        <v>0</v>
      </c>
      <c r="N39" s="3">
        <v>0</v>
      </c>
      <c r="O39" s="3">
        <v>210</v>
      </c>
      <c r="P39" s="3">
        <v>1</v>
      </c>
    </row>
    <row r="40" spans="1:16">
      <c r="A40" s="3">
        <v>12.3</v>
      </c>
      <c r="B40" s="3">
        <v>20</v>
      </c>
      <c r="C40" s="3">
        <v>20</v>
      </c>
      <c r="D40" s="3">
        <v>20</v>
      </c>
      <c r="E40" s="3">
        <v>20</v>
      </c>
      <c r="F40" s="3">
        <v>20</v>
      </c>
      <c r="G40" s="3">
        <v>20</v>
      </c>
      <c r="H40" s="3">
        <v>20</v>
      </c>
      <c r="I40" s="3">
        <v>20</v>
      </c>
      <c r="J40" s="3">
        <v>20</v>
      </c>
      <c r="K40" s="3">
        <v>20</v>
      </c>
      <c r="L40" s="3">
        <v>0</v>
      </c>
      <c r="M40" s="3">
        <v>0</v>
      </c>
      <c r="N40" s="3">
        <v>0</v>
      </c>
      <c r="O40" s="3">
        <v>20</v>
      </c>
      <c r="P40" s="3">
        <v>1</v>
      </c>
    </row>
    <row r="41" spans="1:16">
      <c r="A41" s="3">
        <v>12.5</v>
      </c>
      <c r="B41" s="3">
        <v>10</v>
      </c>
      <c r="C41" s="3">
        <v>10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10</v>
      </c>
      <c r="J41" s="3">
        <v>10</v>
      </c>
      <c r="K41" s="3">
        <v>10</v>
      </c>
      <c r="L41" s="3">
        <v>0</v>
      </c>
      <c r="M41" s="3">
        <v>0</v>
      </c>
      <c r="N41" s="3">
        <v>0</v>
      </c>
      <c r="O41" s="3">
        <v>10</v>
      </c>
      <c r="P41" s="3">
        <v>1</v>
      </c>
    </row>
    <row r="42" spans="1:16">
      <c r="A42" s="3">
        <v>12.7</v>
      </c>
      <c r="B42" s="3">
        <v>10</v>
      </c>
      <c r="C42" s="3">
        <v>10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0</v>
      </c>
      <c r="M42" s="3">
        <v>0</v>
      </c>
      <c r="N42" s="3">
        <v>0</v>
      </c>
      <c r="O42" s="3">
        <v>10</v>
      </c>
      <c r="P42" s="3">
        <v>1</v>
      </c>
    </row>
    <row r="43" spans="1:16">
      <c r="A43" s="3">
        <v>13</v>
      </c>
      <c r="B43" s="3">
        <v>50</v>
      </c>
      <c r="C43" s="3">
        <v>50</v>
      </c>
      <c r="D43" s="3">
        <v>50</v>
      </c>
      <c r="E43" s="3">
        <v>50</v>
      </c>
      <c r="F43" s="3">
        <v>50</v>
      </c>
      <c r="G43" s="3">
        <v>50</v>
      </c>
      <c r="H43" s="3">
        <v>50</v>
      </c>
      <c r="I43" s="3">
        <v>50</v>
      </c>
      <c r="J43" s="3">
        <v>50</v>
      </c>
      <c r="K43" s="3">
        <v>50</v>
      </c>
      <c r="L43" s="3">
        <v>0</v>
      </c>
      <c r="M43" s="3">
        <v>0</v>
      </c>
      <c r="N43" s="3">
        <v>0</v>
      </c>
      <c r="O43" s="3">
        <v>50</v>
      </c>
      <c r="P43" s="3">
        <v>1</v>
      </c>
    </row>
    <row r="44" spans="1:16">
      <c r="A44" s="3">
        <v>13.2</v>
      </c>
      <c r="B44" s="3">
        <v>10</v>
      </c>
      <c r="C44" s="3">
        <v>10</v>
      </c>
      <c r="D44" s="3">
        <v>10</v>
      </c>
      <c r="E44" s="3">
        <v>10</v>
      </c>
      <c r="F44" s="3">
        <v>10</v>
      </c>
      <c r="G44" s="3">
        <v>10</v>
      </c>
      <c r="H44" s="3">
        <v>10</v>
      </c>
      <c r="I44" s="3">
        <v>10</v>
      </c>
      <c r="J44" s="3">
        <v>10</v>
      </c>
      <c r="K44" s="3">
        <v>10</v>
      </c>
      <c r="L44" s="3">
        <v>0</v>
      </c>
      <c r="M44" s="3">
        <v>0</v>
      </c>
      <c r="N44" s="3">
        <v>0</v>
      </c>
      <c r="O44" s="3">
        <v>10</v>
      </c>
      <c r="P44" s="3">
        <v>1</v>
      </c>
    </row>
    <row r="45" spans="1:16">
      <c r="A45" s="3">
        <v>14</v>
      </c>
      <c r="B45" s="3">
        <v>60</v>
      </c>
      <c r="C45" s="3">
        <v>60</v>
      </c>
      <c r="D45" s="3">
        <v>60</v>
      </c>
      <c r="E45" s="3">
        <v>60</v>
      </c>
      <c r="F45" s="3">
        <v>60</v>
      </c>
      <c r="G45" s="3">
        <v>60</v>
      </c>
      <c r="H45" s="3">
        <v>60</v>
      </c>
      <c r="I45" s="3">
        <v>60</v>
      </c>
      <c r="J45" s="3">
        <v>60</v>
      </c>
      <c r="K45" s="3">
        <v>60</v>
      </c>
      <c r="L45" s="3">
        <v>0</v>
      </c>
      <c r="M45" s="3">
        <v>0</v>
      </c>
      <c r="N45" s="3">
        <v>0</v>
      </c>
      <c r="O45" s="3">
        <v>60</v>
      </c>
      <c r="P45" s="3">
        <v>1</v>
      </c>
    </row>
    <row r="46" spans="1:16">
      <c r="A46" s="3">
        <v>14.5</v>
      </c>
      <c r="B46" s="3">
        <v>10</v>
      </c>
      <c r="C46" s="3">
        <v>10</v>
      </c>
      <c r="D46" s="3">
        <v>10</v>
      </c>
      <c r="E46" s="3">
        <v>10</v>
      </c>
      <c r="F46" s="3">
        <v>10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0</v>
      </c>
      <c r="M46" s="3">
        <v>0</v>
      </c>
      <c r="N46" s="3">
        <v>0</v>
      </c>
      <c r="O46" s="3">
        <v>10</v>
      </c>
      <c r="P46" s="3">
        <v>1</v>
      </c>
    </row>
    <row r="47" spans="1:16">
      <c r="A47" s="3">
        <v>15</v>
      </c>
      <c r="B47" s="3">
        <v>70</v>
      </c>
      <c r="C47" s="3">
        <v>70</v>
      </c>
      <c r="D47" s="3">
        <v>70</v>
      </c>
      <c r="E47" s="3">
        <v>70</v>
      </c>
      <c r="F47" s="3">
        <v>70</v>
      </c>
      <c r="G47" s="3">
        <v>70</v>
      </c>
      <c r="H47" s="3">
        <v>70</v>
      </c>
      <c r="I47" s="3">
        <v>70</v>
      </c>
      <c r="J47" s="3">
        <v>70</v>
      </c>
      <c r="K47" s="3">
        <v>70</v>
      </c>
      <c r="L47" s="3">
        <v>0</v>
      </c>
      <c r="M47" s="3">
        <v>0</v>
      </c>
      <c r="N47" s="3">
        <v>0</v>
      </c>
      <c r="O47" s="3">
        <v>70</v>
      </c>
      <c r="P47" s="3">
        <v>1</v>
      </c>
    </row>
    <row r="48" spans="1:16">
      <c r="A48" s="3">
        <v>15.3</v>
      </c>
      <c r="B48" s="3">
        <v>10</v>
      </c>
      <c r="C48" s="3">
        <v>10</v>
      </c>
      <c r="D48" s="3">
        <v>10</v>
      </c>
      <c r="E48" s="3">
        <v>10</v>
      </c>
      <c r="F48" s="3">
        <v>10</v>
      </c>
      <c r="G48" s="3">
        <v>10</v>
      </c>
      <c r="H48" s="3">
        <v>10</v>
      </c>
      <c r="I48" s="3">
        <v>10</v>
      </c>
      <c r="J48" s="3">
        <v>10</v>
      </c>
      <c r="K48" s="3">
        <v>10</v>
      </c>
      <c r="L48" s="3">
        <v>0</v>
      </c>
      <c r="M48" s="3">
        <v>0</v>
      </c>
      <c r="N48" s="3">
        <v>0</v>
      </c>
      <c r="O48" s="3">
        <v>10</v>
      </c>
      <c r="P48" s="3">
        <v>1</v>
      </c>
    </row>
    <row r="49" spans="1:16">
      <c r="A49" s="3">
        <v>16</v>
      </c>
      <c r="B49" s="3">
        <v>100</v>
      </c>
      <c r="C49" s="3">
        <v>100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0</v>
      </c>
      <c r="N49" s="3">
        <v>0</v>
      </c>
      <c r="O49" s="3">
        <v>100</v>
      </c>
      <c r="P49" s="3">
        <v>1</v>
      </c>
    </row>
    <row r="50" spans="1:16">
      <c r="A50" s="3">
        <v>17</v>
      </c>
      <c r="B50" s="3">
        <v>10</v>
      </c>
      <c r="C50" s="3">
        <v>10</v>
      </c>
      <c r="D50" s="3">
        <v>10</v>
      </c>
      <c r="E50" s="3">
        <v>10</v>
      </c>
      <c r="F50" s="3">
        <v>10</v>
      </c>
      <c r="G50" s="3">
        <v>10</v>
      </c>
      <c r="H50" s="3">
        <v>10</v>
      </c>
      <c r="I50" s="3">
        <v>10</v>
      </c>
      <c r="J50" s="3">
        <v>10</v>
      </c>
      <c r="K50" s="3">
        <v>10</v>
      </c>
      <c r="L50" s="3">
        <v>0</v>
      </c>
      <c r="M50" s="3">
        <v>0</v>
      </c>
      <c r="N50" s="3">
        <v>0</v>
      </c>
      <c r="O50" s="3">
        <v>10</v>
      </c>
      <c r="P50" s="3">
        <v>1</v>
      </c>
    </row>
    <row r="51" spans="1:16">
      <c r="A51" s="3">
        <v>18</v>
      </c>
      <c r="B51" s="3">
        <v>170</v>
      </c>
      <c r="C51" s="3">
        <v>170</v>
      </c>
      <c r="D51" s="3">
        <v>170</v>
      </c>
      <c r="E51" s="3">
        <v>170</v>
      </c>
      <c r="F51" s="3">
        <v>170</v>
      </c>
      <c r="G51" s="3">
        <v>170</v>
      </c>
      <c r="H51" s="3">
        <v>170</v>
      </c>
      <c r="I51" s="3">
        <v>170</v>
      </c>
      <c r="J51" s="3">
        <v>170</v>
      </c>
      <c r="K51" s="3">
        <v>103</v>
      </c>
      <c r="L51" s="3">
        <v>0</v>
      </c>
      <c r="M51" s="3">
        <v>0</v>
      </c>
      <c r="N51" s="3">
        <v>0</v>
      </c>
      <c r="O51" s="3">
        <v>170</v>
      </c>
      <c r="P51" s="3">
        <v>1</v>
      </c>
    </row>
    <row r="52" spans="1:16">
      <c r="A52" s="3">
        <v>18.5</v>
      </c>
      <c r="B52" s="3">
        <v>11</v>
      </c>
      <c r="C52" s="3">
        <v>11</v>
      </c>
      <c r="D52" s="3">
        <v>11</v>
      </c>
      <c r="E52" s="3">
        <v>11</v>
      </c>
      <c r="F52" s="3">
        <v>11</v>
      </c>
      <c r="G52" s="3">
        <v>11</v>
      </c>
      <c r="H52" s="3">
        <v>11</v>
      </c>
      <c r="I52" s="3">
        <v>11</v>
      </c>
      <c r="J52" s="3">
        <v>11</v>
      </c>
      <c r="K52" s="3">
        <v>0</v>
      </c>
      <c r="L52" s="3">
        <v>0</v>
      </c>
      <c r="M52" s="3">
        <v>0</v>
      </c>
      <c r="N52" s="3">
        <v>0</v>
      </c>
      <c r="O52" s="3">
        <v>11</v>
      </c>
      <c r="P52" s="3">
        <v>1</v>
      </c>
    </row>
    <row r="53" spans="1:16">
      <c r="A53" s="3">
        <v>19</v>
      </c>
      <c r="B53" s="3">
        <v>30</v>
      </c>
      <c r="C53" s="3">
        <v>30</v>
      </c>
      <c r="D53" s="3">
        <v>30</v>
      </c>
      <c r="E53" s="3">
        <v>30</v>
      </c>
      <c r="F53" s="3">
        <v>30</v>
      </c>
      <c r="G53" s="3">
        <v>30</v>
      </c>
      <c r="H53" s="3">
        <v>30</v>
      </c>
      <c r="I53" s="3">
        <v>30</v>
      </c>
      <c r="J53" s="3">
        <v>30</v>
      </c>
      <c r="K53" s="3">
        <v>0</v>
      </c>
      <c r="L53" s="3">
        <v>0</v>
      </c>
      <c r="M53" s="3">
        <v>0</v>
      </c>
      <c r="N53" s="3">
        <v>0</v>
      </c>
      <c r="O53" s="3">
        <v>30</v>
      </c>
      <c r="P53" s="3">
        <v>1</v>
      </c>
    </row>
    <row r="54" spans="1:16">
      <c r="A54" s="3">
        <v>20</v>
      </c>
      <c r="B54" s="3">
        <v>670</v>
      </c>
      <c r="C54" s="3">
        <v>670</v>
      </c>
      <c r="D54" s="3">
        <v>670</v>
      </c>
      <c r="E54" s="3">
        <v>670</v>
      </c>
      <c r="F54" s="3">
        <v>670</v>
      </c>
      <c r="G54" s="3">
        <v>670</v>
      </c>
      <c r="H54" s="3">
        <v>670</v>
      </c>
      <c r="I54" s="3">
        <v>670</v>
      </c>
      <c r="J54" s="3">
        <v>670</v>
      </c>
      <c r="K54" s="3">
        <v>0</v>
      </c>
      <c r="L54" s="3">
        <v>0</v>
      </c>
      <c r="M54" s="3">
        <v>0</v>
      </c>
      <c r="N54" s="3">
        <v>0</v>
      </c>
      <c r="O54" s="3">
        <v>670</v>
      </c>
      <c r="P54" s="3">
        <v>1</v>
      </c>
    </row>
    <row r="55" spans="1:16">
      <c r="A55" s="3">
        <v>20.3</v>
      </c>
      <c r="B55" s="3">
        <v>50</v>
      </c>
      <c r="C55" s="3">
        <v>50</v>
      </c>
      <c r="D55" s="3">
        <v>50</v>
      </c>
      <c r="E55" s="3">
        <v>50</v>
      </c>
      <c r="F55" s="3">
        <v>50</v>
      </c>
      <c r="G55" s="3">
        <v>50</v>
      </c>
      <c r="H55" s="3">
        <v>50</v>
      </c>
      <c r="I55" s="3">
        <v>50</v>
      </c>
      <c r="J55" s="3">
        <v>50</v>
      </c>
      <c r="K55" s="3">
        <v>0</v>
      </c>
      <c r="L55" s="3">
        <v>0</v>
      </c>
      <c r="M55" s="3">
        <v>0</v>
      </c>
      <c r="N55" s="3">
        <v>0</v>
      </c>
      <c r="O55" s="3">
        <v>50</v>
      </c>
      <c r="P55" s="3">
        <v>1</v>
      </c>
    </row>
    <row r="56" spans="1:16">
      <c r="A56" s="3">
        <v>20.5</v>
      </c>
      <c r="B56" s="3">
        <v>60</v>
      </c>
      <c r="C56" s="3">
        <v>60</v>
      </c>
      <c r="D56" s="3">
        <v>60</v>
      </c>
      <c r="E56" s="3">
        <v>60</v>
      </c>
      <c r="F56" s="3">
        <v>60</v>
      </c>
      <c r="G56" s="3">
        <v>60</v>
      </c>
      <c r="H56" s="3">
        <v>60</v>
      </c>
      <c r="I56" s="3">
        <v>60</v>
      </c>
      <c r="J56" s="3">
        <v>60</v>
      </c>
      <c r="K56" s="3">
        <v>0</v>
      </c>
      <c r="L56" s="3">
        <v>0</v>
      </c>
      <c r="M56" s="3">
        <v>0</v>
      </c>
      <c r="N56" s="3">
        <v>0</v>
      </c>
      <c r="O56" s="3">
        <v>60</v>
      </c>
      <c r="P56" s="3">
        <v>1</v>
      </c>
    </row>
    <row r="57" spans="1:16">
      <c r="A57" s="3">
        <v>20.6</v>
      </c>
      <c r="B57" s="3">
        <v>10</v>
      </c>
      <c r="C57" s="3">
        <v>10</v>
      </c>
      <c r="D57" s="3">
        <v>10</v>
      </c>
      <c r="E57" s="3">
        <v>10</v>
      </c>
      <c r="F57" s="3">
        <v>10</v>
      </c>
      <c r="G57" s="3">
        <v>10</v>
      </c>
      <c r="H57" s="3">
        <v>10</v>
      </c>
      <c r="I57" s="3">
        <v>10</v>
      </c>
      <c r="J57" s="3">
        <v>10</v>
      </c>
      <c r="K57" s="3">
        <v>0</v>
      </c>
      <c r="L57" s="3">
        <v>0</v>
      </c>
      <c r="M57" s="3">
        <v>0</v>
      </c>
      <c r="N57" s="3">
        <v>0</v>
      </c>
      <c r="O57" s="3">
        <v>10</v>
      </c>
      <c r="P57" s="3">
        <v>1</v>
      </c>
    </row>
    <row r="58" spans="1:16">
      <c r="A58" s="3">
        <v>21</v>
      </c>
      <c r="B58" s="3">
        <v>20</v>
      </c>
      <c r="C58" s="3">
        <v>20</v>
      </c>
      <c r="D58" s="3">
        <v>20</v>
      </c>
      <c r="E58" s="3">
        <v>20</v>
      </c>
      <c r="F58" s="3">
        <v>20</v>
      </c>
      <c r="G58" s="3">
        <v>20</v>
      </c>
      <c r="H58" s="3">
        <v>20</v>
      </c>
      <c r="I58" s="3">
        <v>20</v>
      </c>
      <c r="J58" s="3">
        <v>20</v>
      </c>
      <c r="K58" s="3">
        <v>0</v>
      </c>
      <c r="L58" s="3">
        <v>0</v>
      </c>
      <c r="M58" s="3">
        <v>0</v>
      </c>
      <c r="N58" s="3">
        <v>0</v>
      </c>
      <c r="O58" s="3">
        <v>20</v>
      </c>
      <c r="P58" s="3">
        <v>1</v>
      </c>
    </row>
    <row r="59" spans="1:16">
      <c r="A59" s="3">
        <v>21.5</v>
      </c>
      <c r="B59" s="3">
        <v>10</v>
      </c>
      <c r="C59" s="3">
        <v>10</v>
      </c>
      <c r="D59" s="3">
        <v>10</v>
      </c>
      <c r="E59" s="3">
        <v>10</v>
      </c>
      <c r="F59" s="3">
        <v>10</v>
      </c>
      <c r="G59" s="3">
        <v>10</v>
      </c>
      <c r="H59" s="3">
        <v>10</v>
      </c>
      <c r="I59" s="3">
        <v>10</v>
      </c>
      <c r="J59" s="3">
        <v>10</v>
      </c>
      <c r="K59" s="3">
        <v>0</v>
      </c>
      <c r="L59" s="3">
        <v>0</v>
      </c>
      <c r="M59" s="3">
        <v>0</v>
      </c>
      <c r="N59" s="3">
        <v>0</v>
      </c>
      <c r="O59" s="3">
        <v>10</v>
      </c>
      <c r="P59" s="3">
        <v>1</v>
      </c>
    </row>
    <row r="60" spans="1:16">
      <c r="A60" s="3">
        <v>21.8</v>
      </c>
      <c r="B60" s="3">
        <v>10</v>
      </c>
      <c r="C60" s="3">
        <v>10</v>
      </c>
      <c r="D60" s="3">
        <v>10</v>
      </c>
      <c r="E60" s="3">
        <v>10</v>
      </c>
      <c r="F60" s="3">
        <v>10</v>
      </c>
      <c r="G60" s="3">
        <v>10</v>
      </c>
      <c r="H60" s="3">
        <v>10</v>
      </c>
      <c r="I60" s="3">
        <v>10</v>
      </c>
      <c r="J60" s="3">
        <v>10</v>
      </c>
      <c r="K60" s="3">
        <v>0</v>
      </c>
      <c r="L60" s="3">
        <v>0</v>
      </c>
      <c r="M60" s="3">
        <v>0</v>
      </c>
      <c r="N60" s="3">
        <v>0</v>
      </c>
      <c r="O60" s="3">
        <v>10</v>
      </c>
      <c r="P60" s="3">
        <v>1</v>
      </c>
    </row>
    <row r="61" spans="1:16">
      <c r="A61" s="3">
        <v>22</v>
      </c>
      <c r="B61" s="3">
        <v>60</v>
      </c>
      <c r="C61" s="3">
        <v>60</v>
      </c>
      <c r="D61" s="3">
        <v>60</v>
      </c>
      <c r="E61" s="3">
        <v>60</v>
      </c>
      <c r="F61" s="3">
        <v>60</v>
      </c>
      <c r="G61" s="3">
        <v>60</v>
      </c>
      <c r="H61" s="3">
        <v>60</v>
      </c>
      <c r="I61" s="3">
        <v>60</v>
      </c>
      <c r="J61" s="3">
        <v>60</v>
      </c>
      <c r="K61" s="3">
        <v>0</v>
      </c>
      <c r="L61" s="3">
        <v>0</v>
      </c>
      <c r="M61" s="3">
        <v>0</v>
      </c>
      <c r="N61" s="3">
        <v>0</v>
      </c>
      <c r="O61" s="3">
        <v>60</v>
      </c>
      <c r="P61" s="3">
        <v>1</v>
      </c>
    </row>
    <row r="62" spans="1:16">
      <c r="A62" s="3">
        <v>22.3</v>
      </c>
      <c r="B62" s="3">
        <v>10</v>
      </c>
      <c r="C62" s="3">
        <v>10</v>
      </c>
      <c r="D62" s="3">
        <v>10</v>
      </c>
      <c r="E62" s="3">
        <v>10</v>
      </c>
      <c r="F62" s="3">
        <v>10</v>
      </c>
      <c r="G62" s="3">
        <v>10</v>
      </c>
      <c r="H62" s="3">
        <v>10</v>
      </c>
      <c r="I62" s="3">
        <v>10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10</v>
      </c>
      <c r="P62" s="3">
        <v>1</v>
      </c>
    </row>
    <row r="63" spans="1:16">
      <c r="A63" s="3">
        <v>22.4</v>
      </c>
      <c r="B63" s="3">
        <v>10</v>
      </c>
      <c r="C63" s="3">
        <v>10</v>
      </c>
      <c r="D63" s="3">
        <v>10</v>
      </c>
      <c r="E63" s="3">
        <v>10</v>
      </c>
      <c r="F63" s="3">
        <v>10</v>
      </c>
      <c r="G63" s="3">
        <v>10</v>
      </c>
      <c r="H63" s="3">
        <v>10</v>
      </c>
      <c r="I63" s="3">
        <v>10</v>
      </c>
      <c r="J63" s="3">
        <v>10</v>
      </c>
      <c r="K63" s="3">
        <v>0</v>
      </c>
      <c r="L63" s="3">
        <v>0</v>
      </c>
      <c r="M63" s="3">
        <v>0</v>
      </c>
      <c r="N63" s="3">
        <v>0</v>
      </c>
      <c r="O63" s="3">
        <v>10</v>
      </c>
      <c r="P63" s="3">
        <v>1</v>
      </c>
    </row>
    <row r="64" spans="1:16">
      <c r="A64" s="3">
        <v>22.5</v>
      </c>
      <c r="B64" s="3">
        <v>30</v>
      </c>
      <c r="C64" s="3">
        <v>30</v>
      </c>
      <c r="D64" s="3">
        <v>30</v>
      </c>
      <c r="E64" s="3">
        <v>30</v>
      </c>
      <c r="F64" s="3">
        <v>30</v>
      </c>
      <c r="G64" s="3">
        <v>30</v>
      </c>
      <c r="H64" s="3">
        <v>30</v>
      </c>
      <c r="I64" s="3">
        <v>30</v>
      </c>
      <c r="J64" s="3">
        <v>30</v>
      </c>
      <c r="K64" s="3">
        <v>0</v>
      </c>
      <c r="L64" s="3">
        <v>0</v>
      </c>
      <c r="M64" s="3">
        <v>0</v>
      </c>
      <c r="N64" s="3">
        <v>0</v>
      </c>
      <c r="O64" s="3">
        <v>30</v>
      </c>
      <c r="P64" s="3">
        <v>1</v>
      </c>
    </row>
    <row r="65" spans="1:16">
      <c r="A65" s="3">
        <v>22.8</v>
      </c>
      <c r="B65" s="3">
        <v>10</v>
      </c>
      <c r="C65" s="3">
        <v>10</v>
      </c>
      <c r="D65" s="3">
        <v>10</v>
      </c>
      <c r="E65" s="3">
        <v>10</v>
      </c>
      <c r="F65" s="3">
        <v>10</v>
      </c>
      <c r="G65" s="3">
        <v>10</v>
      </c>
      <c r="H65" s="3">
        <v>10</v>
      </c>
      <c r="I65" s="3">
        <v>10</v>
      </c>
      <c r="J65" s="3">
        <v>10</v>
      </c>
      <c r="K65" s="3">
        <v>0</v>
      </c>
      <c r="L65" s="3">
        <v>0</v>
      </c>
      <c r="M65" s="3">
        <v>0</v>
      </c>
      <c r="N65" s="3">
        <v>0</v>
      </c>
      <c r="O65" s="3">
        <v>10</v>
      </c>
      <c r="P65" s="3">
        <v>1</v>
      </c>
    </row>
    <row r="66" spans="1:16">
      <c r="A66" s="3">
        <v>22.9</v>
      </c>
      <c r="B66" s="3">
        <v>10</v>
      </c>
      <c r="C66" s="3">
        <v>10</v>
      </c>
      <c r="D66" s="3">
        <v>10</v>
      </c>
      <c r="E66" s="3">
        <v>10</v>
      </c>
      <c r="F66" s="3">
        <v>10</v>
      </c>
      <c r="G66" s="3">
        <v>10</v>
      </c>
      <c r="H66" s="3">
        <v>10</v>
      </c>
      <c r="I66" s="3">
        <v>10</v>
      </c>
      <c r="J66" s="3">
        <v>10</v>
      </c>
      <c r="K66" s="3">
        <v>0</v>
      </c>
      <c r="L66" s="3">
        <v>0</v>
      </c>
      <c r="M66" s="3">
        <v>0</v>
      </c>
      <c r="N66" s="3">
        <v>0</v>
      </c>
      <c r="O66" s="3">
        <v>10</v>
      </c>
      <c r="P66" s="3">
        <v>1</v>
      </c>
    </row>
    <row r="67" spans="1:16">
      <c r="A67" s="3">
        <v>23</v>
      </c>
      <c r="B67" s="3">
        <v>20</v>
      </c>
      <c r="C67" s="3">
        <v>20</v>
      </c>
      <c r="D67" s="3">
        <v>20</v>
      </c>
      <c r="E67" s="3">
        <v>20</v>
      </c>
      <c r="F67" s="3">
        <v>20</v>
      </c>
      <c r="G67" s="3">
        <v>20</v>
      </c>
      <c r="H67" s="3">
        <v>20</v>
      </c>
      <c r="I67" s="3">
        <v>20</v>
      </c>
      <c r="J67" s="3">
        <v>20</v>
      </c>
      <c r="K67" s="3">
        <v>0</v>
      </c>
      <c r="L67" s="3">
        <v>0</v>
      </c>
      <c r="M67" s="3">
        <v>0</v>
      </c>
      <c r="N67" s="3">
        <v>0</v>
      </c>
      <c r="O67" s="3">
        <v>20</v>
      </c>
      <c r="P67" s="3">
        <v>1</v>
      </c>
    </row>
    <row r="68" spans="1:16">
      <c r="A68" s="3">
        <v>23.5</v>
      </c>
      <c r="B68" s="3">
        <v>10</v>
      </c>
      <c r="C68" s="3">
        <v>10</v>
      </c>
      <c r="D68" s="3">
        <v>10</v>
      </c>
      <c r="E68" s="3">
        <v>10</v>
      </c>
      <c r="F68" s="3">
        <v>10</v>
      </c>
      <c r="G68" s="3">
        <v>10</v>
      </c>
      <c r="H68" s="3">
        <v>10</v>
      </c>
      <c r="I68" s="3">
        <v>10</v>
      </c>
      <c r="J68" s="3">
        <v>10</v>
      </c>
      <c r="K68" s="3">
        <v>0</v>
      </c>
      <c r="L68" s="3">
        <v>0</v>
      </c>
      <c r="M68" s="3">
        <v>0</v>
      </c>
      <c r="N68" s="3">
        <v>0</v>
      </c>
      <c r="O68" s="3">
        <v>10</v>
      </c>
      <c r="P68" s="3">
        <v>1</v>
      </c>
    </row>
    <row r="69" spans="1:16">
      <c r="A69" s="3">
        <v>23.7</v>
      </c>
      <c r="B69" s="3">
        <v>10</v>
      </c>
      <c r="C69" s="3">
        <v>10</v>
      </c>
      <c r="D69" s="3">
        <v>10</v>
      </c>
      <c r="E69" s="3">
        <v>10</v>
      </c>
      <c r="F69" s="3">
        <v>10</v>
      </c>
      <c r="G69" s="3">
        <v>10</v>
      </c>
      <c r="H69" s="3">
        <v>10</v>
      </c>
      <c r="I69" s="3">
        <v>10</v>
      </c>
      <c r="J69" s="3">
        <v>10</v>
      </c>
      <c r="K69" s="3">
        <v>0</v>
      </c>
      <c r="L69" s="3">
        <v>0</v>
      </c>
      <c r="M69" s="3">
        <v>0</v>
      </c>
      <c r="N69" s="3">
        <v>0</v>
      </c>
      <c r="O69" s="3">
        <v>10</v>
      </c>
      <c r="P69" s="3">
        <v>1</v>
      </c>
    </row>
    <row r="70" spans="1:16">
      <c r="A70" s="3">
        <v>24</v>
      </c>
      <c r="B70" s="3">
        <v>30</v>
      </c>
      <c r="C70" s="3">
        <v>30</v>
      </c>
      <c r="D70" s="3">
        <v>30</v>
      </c>
      <c r="E70" s="3">
        <v>30</v>
      </c>
      <c r="F70" s="3">
        <v>30</v>
      </c>
      <c r="G70" s="3">
        <v>30</v>
      </c>
      <c r="H70" s="3">
        <v>30</v>
      </c>
      <c r="I70" s="3">
        <v>30</v>
      </c>
      <c r="J70" s="3">
        <v>26</v>
      </c>
      <c r="K70" s="3">
        <v>0</v>
      </c>
      <c r="L70" s="3">
        <v>0</v>
      </c>
      <c r="M70" s="3">
        <v>0</v>
      </c>
      <c r="N70" s="3">
        <v>0</v>
      </c>
      <c r="O70" s="3">
        <v>30</v>
      </c>
      <c r="P70" s="3">
        <v>1</v>
      </c>
    </row>
    <row r="71" spans="1:16">
      <c r="A71" s="3">
        <v>24.5</v>
      </c>
      <c r="B71" s="3">
        <v>10</v>
      </c>
      <c r="C71" s="3">
        <v>10</v>
      </c>
      <c r="D71" s="3">
        <v>10</v>
      </c>
      <c r="E71" s="3">
        <v>10</v>
      </c>
      <c r="F71" s="3">
        <v>10</v>
      </c>
      <c r="G71" s="3">
        <v>10</v>
      </c>
      <c r="H71" s="3">
        <v>10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10</v>
      </c>
      <c r="P71" s="3">
        <v>1</v>
      </c>
    </row>
    <row r="72" spans="1:16">
      <c r="A72" s="3">
        <v>25</v>
      </c>
      <c r="B72" s="3">
        <v>630</v>
      </c>
      <c r="C72" s="3">
        <v>630</v>
      </c>
      <c r="D72" s="3">
        <v>630</v>
      </c>
      <c r="E72" s="3">
        <v>630</v>
      </c>
      <c r="F72" s="3">
        <v>630</v>
      </c>
      <c r="G72" s="3">
        <v>630</v>
      </c>
      <c r="H72" s="3">
        <v>630</v>
      </c>
      <c r="I72" s="3">
        <v>630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630</v>
      </c>
      <c r="P72" s="3">
        <v>1</v>
      </c>
    </row>
    <row r="73" spans="1:16">
      <c r="A73" s="3">
        <v>25.3</v>
      </c>
      <c r="B73" s="3">
        <v>20</v>
      </c>
      <c r="C73" s="3">
        <v>20</v>
      </c>
      <c r="D73" s="3">
        <v>20</v>
      </c>
      <c r="E73" s="3">
        <v>20</v>
      </c>
      <c r="F73" s="3">
        <v>20</v>
      </c>
      <c r="G73" s="3">
        <v>20</v>
      </c>
      <c r="H73" s="3">
        <v>20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20</v>
      </c>
      <c r="P73" s="3">
        <v>1</v>
      </c>
    </row>
    <row r="74" spans="1:16">
      <c r="A74" s="3">
        <v>25.5</v>
      </c>
      <c r="B74" s="3">
        <v>20</v>
      </c>
      <c r="C74" s="3">
        <v>20</v>
      </c>
      <c r="D74" s="3">
        <v>20</v>
      </c>
      <c r="E74" s="3">
        <v>20</v>
      </c>
      <c r="F74" s="3">
        <v>20</v>
      </c>
      <c r="G74" s="3">
        <v>20</v>
      </c>
      <c r="H74" s="3">
        <v>20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20</v>
      </c>
      <c r="P74" s="3">
        <v>1</v>
      </c>
    </row>
    <row r="75" spans="1:16">
      <c r="A75" s="3">
        <v>25.6</v>
      </c>
      <c r="B75" s="3">
        <v>10</v>
      </c>
      <c r="C75" s="3">
        <v>10</v>
      </c>
      <c r="D75" s="3">
        <v>10</v>
      </c>
      <c r="E75" s="3">
        <v>10</v>
      </c>
      <c r="F75" s="3">
        <v>10</v>
      </c>
      <c r="G75" s="3">
        <v>10</v>
      </c>
      <c r="H75" s="3">
        <v>10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10</v>
      </c>
      <c r="P75" s="3">
        <v>1</v>
      </c>
    </row>
    <row r="76" spans="1:16">
      <c r="A76" s="3">
        <v>26</v>
      </c>
      <c r="B76" s="3">
        <v>30</v>
      </c>
      <c r="C76" s="3">
        <v>30</v>
      </c>
      <c r="D76" s="3">
        <v>30</v>
      </c>
      <c r="E76" s="3">
        <v>30</v>
      </c>
      <c r="F76" s="3">
        <v>30</v>
      </c>
      <c r="G76" s="3">
        <v>30</v>
      </c>
      <c r="H76" s="3">
        <v>30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30</v>
      </c>
      <c r="P76" s="3">
        <v>1</v>
      </c>
    </row>
    <row r="77" spans="1:16">
      <c r="A77" s="3">
        <v>26.5</v>
      </c>
      <c r="B77" s="3">
        <v>10</v>
      </c>
      <c r="C77" s="3">
        <v>10</v>
      </c>
      <c r="D77" s="3">
        <v>10</v>
      </c>
      <c r="E77" s="3">
        <v>10</v>
      </c>
      <c r="F77" s="3">
        <v>10</v>
      </c>
      <c r="G77" s="3">
        <v>10</v>
      </c>
      <c r="H77" s="3">
        <v>10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10</v>
      </c>
      <c r="P77" s="3">
        <v>1</v>
      </c>
    </row>
    <row r="78" spans="1:16">
      <c r="A78" s="3">
        <v>26.7</v>
      </c>
      <c r="B78" s="3">
        <v>10</v>
      </c>
      <c r="C78" s="3">
        <v>10</v>
      </c>
      <c r="D78" s="3">
        <v>10</v>
      </c>
      <c r="E78" s="3">
        <v>10</v>
      </c>
      <c r="F78" s="3">
        <v>10</v>
      </c>
      <c r="G78" s="3">
        <v>10</v>
      </c>
      <c r="H78" s="3">
        <v>10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10</v>
      </c>
      <c r="P78" s="3">
        <v>1</v>
      </c>
    </row>
    <row r="79" spans="1:16">
      <c r="A79" s="3">
        <v>26.8</v>
      </c>
      <c r="B79" s="3">
        <v>10</v>
      </c>
      <c r="C79" s="3">
        <v>10</v>
      </c>
      <c r="D79" s="3">
        <v>10</v>
      </c>
      <c r="E79" s="3">
        <v>10</v>
      </c>
      <c r="F79" s="3">
        <v>10</v>
      </c>
      <c r="G79" s="3">
        <v>10</v>
      </c>
      <c r="H79" s="3">
        <v>10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10</v>
      </c>
      <c r="P79" s="3">
        <v>1</v>
      </c>
    </row>
    <row r="80" spans="1:16">
      <c r="A80" s="3">
        <v>27</v>
      </c>
      <c r="B80" s="3">
        <v>40</v>
      </c>
      <c r="C80" s="3">
        <v>40</v>
      </c>
      <c r="D80" s="3">
        <v>40</v>
      </c>
      <c r="E80" s="3">
        <v>40</v>
      </c>
      <c r="F80" s="3">
        <v>40</v>
      </c>
      <c r="G80" s="3">
        <v>40</v>
      </c>
      <c r="H80" s="3">
        <v>40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40</v>
      </c>
      <c r="P80" s="3">
        <v>1</v>
      </c>
    </row>
    <row r="81" spans="1:16">
      <c r="A81" s="3">
        <v>27.5</v>
      </c>
      <c r="B81" s="3">
        <v>10</v>
      </c>
      <c r="C81" s="3">
        <v>10</v>
      </c>
      <c r="D81" s="3">
        <v>10</v>
      </c>
      <c r="E81" s="3">
        <v>10</v>
      </c>
      <c r="F81" s="3">
        <v>10</v>
      </c>
      <c r="G81" s="3">
        <v>10</v>
      </c>
      <c r="H81" s="3">
        <v>10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10</v>
      </c>
      <c r="P81" s="3">
        <v>1</v>
      </c>
    </row>
    <row r="82" spans="1:16">
      <c r="A82" s="3">
        <v>28</v>
      </c>
      <c r="B82" s="3">
        <v>20</v>
      </c>
      <c r="C82" s="3">
        <v>20</v>
      </c>
      <c r="D82" s="3">
        <v>20</v>
      </c>
      <c r="E82" s="3">
        <v>20</v>
      </c>
      <c r="F82" s="3">
        <v>20</v>
      </c>
      <c r="G82" s="3">
        <v>20</v>
      </c>
      <c r="H82" s="3">
        <v>20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20</v>
      </c>
      <c r="P82" s="3">
        <v>1</v>
      </c>
    </row>
    <row r="83" spans="1:16">
      <c r="A83" s="3">
        <v>29</v>
      </c>
      <c r="B83" s="3">
        <v>10</v>
      </c>
      <c r="C83" s="3">
        <v>10</v>
      </c>
      <c r="D83" s="3">
        <v>10</v>
      </c>
      <c r="E83" s="3">
        <v>10</v>
      </c>
      <c r="F83" s="3">
        <v>10</v>
      </c>
      <c r="G83" s="3">
        <v>10</v>
      </c>
      <c r="H83" s="3">
        <v>10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</v>
      </c>
      <c r="P83" s="3">
        <v>1</v>
      </c>
    </row>
    <row r="84" spans="1:16">
      <c r="A84" s="3">
        <v>30</v>
      </c>
      <c r="B84" s="3">
        <v>812</v>
      </c>
      <c r="C84" s="3">
        <v>812</v>
      </c>
      <c r="D84" s="3">
        <v>812</v>
      </c>
      <c r="E84" s="3">
        <v>812</v>
      </c>
      <c r="F84" s="3">
        <v>812</v>
      </c>
      <c r="G84" s="3">
        <v>812</v>
      </c>
      <c r="H84" s="3">
        <v>812</v>
      </c>
      <c r="I84" s="3">
        <v>374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812</v>
      </c>
      <c r="P84" s="3">
        <v>1</v>
      </c>
    </row>
    <row r="85" spans="1:16">
      <c r="A85" s="3">
        <v>30.3</v>
      </c>
      <c r="B85" s="3">
        <v>20</v>
      </c>
      <c r="C85" s="3">
        <v>20</v>
      </c>
      <c r="D85" s="3">
        <v>20</v>
      </c>
      <c r="E85" s="3">
        <v>20</v>
      </c>
      <c r="F85" s="3">
        <v>20</v>
      </c>
      <c r="G85" s="3">
        <v>20</v>
      </c>
      <c r="H85" s="3">
        <v>20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20</v>
      </c>
      <c r="P85" s="3">
        <v>1</v>
      </c>
    </row>
    <row r="86" spans="1:16">
      <c r="A86" s="3">
        <v>30.5</v>
      </c>
      <c r="B86" s="3">
        <v>50</v>
      </c>
      <c r="C86" s="3">
        <v>50</v>
      </c>
      <c r="D86" s="3">
        <v>50</v>
      </c>
      <c r="E86" s="3">
        <v>50</v>
      </c>
      <c r="F86" s="3">
        <v>50</v>
      </c>
      <c r="G86" s="3">
        <v>50</v>
      </c>
      <c r="H86" s="3">
        <v>50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50</v>
      </c>
      <c r="P86" s="3">
        <v>1</v>
      </c>
    </row>
    <row r="87" spans="1:16">
      <c r="A87" s="3">
        <v>30.6</v>
      </c>
      <c r="B87" s="3">
        <v>10</v>
      </c>
      <c r="C87" s="3">
        <v>10</v>
      </c>
      <c r="D87" s="3">
        <v>10</v>
      </c>
      <c r="E87" s="3">
        <v>10</v>
      </c>
      <c r="F87" s="3">
        <v>10</v>
      </c>
      <c r="G87" s="3">
        <v>10</v>
      </c>
      <c r="H87" s="3">
        <v>10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10</v>
      </c>
      <c r="P87" s="3">
        <v>1</v>
      </c>
    </row>
    <row r="88" spans="1:16">
      <c r="A88" s="3">
        <v>31</v>
      </c>
      <c r="B88" s="3">
        <v>80</v>
      </c>
      <c r="C88" s="3">
        <v>80</v>
      </c>
      <c r="D88" s="3">
        <v>80</v>
      </c>
      <c r="E88" s="3">
        <v>80</v>
      </c>
      <c r="F88" s="3">
        <v>80</v>
      </c>
      <c r="G88" s="3">
        <v>80</v>
      </c>
      <c r="H88" s="3">
        <v>80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80</v>
      </c>
      <c r="P88" s="3">
        <v>1</v>
      </c>
    </row>
    <row r="89" spans="1:16">
      <c r="A89" s="3">
        <v>31.2</v>
      </c>
      <c r="B89" s="3">
        <v>30</v>
      </c>
      <c r="C89" s="3">
        <v>30</v>
      </c>
      <c r="D89" s="3">
        <v>30</v>
      </c>
      <c r="E89" s="3">
        <v>30</v>
      </c>
      <c r="F89" s="3">
        <v>30</v>
      </c>
      <c r="G89" s="3">
        <v>30</v>
      </c>
      <c r="H89" s="3">
        <v>30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30</v>
      </c>
      <c r="P89" s="3">
        <v>1</v>
      </c>
    </row>
    <row r="90" spans="1:16">
      <c r="A90" s="3">
        <v>31.5</v>
      </c>
      <c r="B90" s="3">
        <v>60</v>
      </c>
      <c r="C90" s="3">
        <v>60</v>
      </c>
      <c r="D90" s="3">
        <v>60</v>
      </c>
      <c r="E90" s="3">
        <v>60</v>
      </c>
      <c r="F90" s="3">
        <v>60</v>
      </c>
      <c r="G90" s="3">
        <v>60</v>
      </c>
      <c r="H90" s="3">
        <v>60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60</v>
      </c>
      <c r="P90" s="3">
        <v>1</v>
      </c>
    </row>
    <row r="91" spans="1:16">
      <c r="A91" s="3">
        <v>32</v>
      </c>
      <c r="B91" s="3">
        <v>80</v>
      </c>
      <c r="C91" s="3">
        <v>80</v>
      </c>
      <c r="D91" s="3">
        <v>80</v>
      </c>
      <c r="E91" s="3">
        <v>80</v>
      </c>
      <c r="F91" s="3">
        <v>80</v>
      </c>
      <c r="G91" s="3">
        <v>80</v>
      </c>
      <c r="H91" s="3">
        <v>80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80</v>
      </c>
      <c r="P91" s="3">
        <v>1</v>
      </c>
    </row>
    <row r="92" spans="1:16">
      <c r="A92" s="3">
        <v>32.4</v>
      </c>
      <c r="B92" s="3">
        <v>10</v>
      </c>
      <c r="C92" s="3">
        <v>10</v>
      </c>
      <c r="D92" s="3">
        <v>10</v>
      </c>
      <c r="E92" s="3">
        <v>10</v>
      </c>
      <c r="F92" s="3">
        <v>10</v>
      </c>
      <c r="G92" s="3">
        <v>10</v>
      </c>
      <c r="H92" s="3">
        <v>10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10</v>
      </c>
      <c r="P92" s="3">
        <v>1</v>
      </c>
    </row>
    <row r="93" spans="1:16">
      <c r="A93" s="3">
        <v>32.5</v>
      </c>
      <c r="B93" s="3">
        <v>20</v>
      </c>
      <c r="C93" s="3">
        <v>20</v>
      </c>
      <c r="D93" s="3">
        <v>20</v>
      </c>
      <c r="E93" s="3">
        <v>20</v>
      </c>
      <c r="F93" s="3">
        <v>20</v>
      </c>
      <c r="G93" s="3">
        <v>20</v>
      </c>
      <c r="H93" s="3">
        <v>20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20</v>
      </c>
      <c r="P93" s="3">
        <v>1</v>
      </c>
    </row>
    <row r="94" spans="1:16">
      <c r="A94" s="3">
        <v>33</v>
      </c>
      <c r="B94" s="3">
        <v>20</v>
      </c>
      <c r="C94" s="3">
        <v>20</v>
      </c>
      <c r="D94" s="3">
        <v>20</v>
      </c>
      <c r="E94" s="3">
        <v>20</v>
      </c>
      <c r="F94" s="3">
        <v>20</v>
      </c>
      <c r="G94" s="3">
        <v>20</v>
      </c>
      <c r="H94" s="3">
        <v>20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20</v>
      </c>
      <c r="P94" s="3">
        <v>1</v>
      </c>
    </row>
    <row r="95" spans="1:16">
      <c r="A95" s="3">
        <v>33.5</v>
      </c>
      <c r="B95" s="3">
        <v>20</v>
      </c>
      <c r="C95" s="3">
        <v>20</v>
      </c>
      <c r="D95" s="3">
        <v>20</v>
      </c>
      <c r="E95" s="3">
        <v>20</v>
      </c>
      <c r="F95" s="3">
        <v>20</v>
      </c>
      <c r="G95" s="3">
        <v>20</v>
      </c>
      <c r="H95" s="3">
        <v>20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20</v>
      </c>
      <c r="P95" s="3">
        <v>1</v>
      </c>
    </row>
    <row r="96" spans="1:16">
      <c r="A96" s="3">
        <v>34</v>
      </c>
      <c r="B96" s="3">
        <v>10</v>
      </c>
      <c r="C96" s="3">
        <v>10</v>
      </c>
      <c r="D96" s="3">
        <v>10</v>
      </c>
      <c r="E96" s="3">
        <v>10</v>
      </c>
      <c r="F96" s="3">
        <v>10</v>
      </c>
      <c r="G96" s="3">
        <v>10</v>
      </c>
      <c r="H96" s="3">
        <v>10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10</v>
      </c>
      <c r="P96" s="3">
        <v>1</v>
      </c>
    </row>
    <row r="97" spans="1:16">
      <c r="A97" s="3">
        <v>34.3</v>
      </c>
      <c r="B97" s="3">
        <v>10</v>
      </c>
      <c r="C97" s="3">
        <v>10</v>
      </c>
      <c r="D97" s="3">
        <v>10</v>
      </c>
      <c r="E97" s="3">
        <v>10</v>
      </c>
      <c r="F97" s="3">
        <v>10</v>
      </c>
      <c r="G97" s="3">
        <v>10</v>
      </c>
      <c r="H97" s="3">
        <v>10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10</v>
      </c>
      <c r="P97" s="3">
        <v>1</v>
      </c>
    </row>
    <row r="98" spans="1:16">
      <c r="A98" s="3">
        <v>35</v>
      </c>
      <c r="B98" s="3">
        <v>80</v>
      </c>
      <c r="C98" s="3">
        <v>80</v>
      </c>
      <c r="D98" s="3">
        <v>80</v>
      </c>
      <c r="E98" s="3">
        <v>80</v>
      </c>
      <c r="F98" s="3">
        <v>80</v>
      </c>
      <c r="G98" s="3">
        <v>80</v>
      </c>
      <c r="H98" s="3">
        <v>80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80</v>
      </c>
      <c r="P98" s="3">
        <v>1</v>
      </c>
    </row>
    <row r="99" spans="1:16">
      <c r="A99" s="3">
        <v>37</v>
      </c>
      <c r="B99" s="3">
        <v>10</v>
      </c>
      <c r="C99" s="3">
        <v>10</v>
      </c>
      <c r="D99" s="3">
        <v>10</v>
      </c>
      <c r="E99" s="3">
        <v>10</v>
      </c>
      <c r="F99" s="3">
        <v>10</v>
      </c>
      <c r="G99" s="3">
        <v>10</v>
      </c>
      <c r="H99" s="3">
        <v>10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10</v>
      </c>
      <c r="P99" s="3">
        <v>1</v>
      </c>
    </row>
    <row r="100" spans="1:16">
      <c r="A100" s="3">
        <v>40</v>
      </c>
      <c r="B100" s="3">
        <v>490</v>
      </c>
      <c r="C100" s="3">
        <v>490</v>
      </c>
      <c r="D100" s="3">
        <v>490</v>
      </c>
      <c r="E100" s="3">
        <v>490</v>
      </c>
      <c r="F100" s="3">
        <v>490</v>
      </c>
      <c r="G100" s="3">
        <v>490</v>
      </c>
      <c r="H100" s="3">
        <v>305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490</v>
      </c>
      <c r="P100" s="3">
        <v>1</v>
      </c>
    </row>
    <row r="101" spans="1:16">
      <c r="A101" s="3">
        <v>40.3</v>
      </c>
      <c r="B101" s="3">
        <v>30</v>
      </c>
      <c r="C101" s="3">
        <v>30</v>
      </c>
      <c r="D101" s="3">
        <v>30</v>
      </c>
      <c r="E101" s="3">
        <v>30</v>
      </c>
      <c r="F101" s="3">
        <v>30</v>
      </c>
      <c r="G101" s="3">
        <v>30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30</v>
      </c>
      <c r="P101" s="3">
        <v>1</v>
      </c>
    </row>
    <row r="102" spans="1:16">
      <c r="A102" s="3">
        <v>40.5</v>
      </c>
      <c r="B102" s="3">
        <v>40</v>
      </c>
      <c r="C102" s="3">
        <v>40</v>
      </c>
      <c r="D102" s="3">
        <v>40</v>
      </c>
      <c r="E102" s="3">
        <v>40</v>
      </c>
      <c r="F102" s="3">
        <v>40</v>
      </c>
      <c r="G102" s="3">
        <v>40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40</v>
      </c>
      <c r="P102" s="3">
        <v>1</v>
      </c>
    </row>
    <row r="103" spans="1:16">
      <c r="A103" s="3">
        <v>40.6</v>
      </c>
      <c r="B103" s="3">
        <v>40</v>
      </c>
      <c r="C103" s="3">
        <v>40</v>
      </c>
      <c r="D103" s="3">
        <v>40</v>
      </c>
      <c r="E103" s="3">
        <v>40</v>
      </c>
      <c r="F103" s="3">
        <v>40</v>
      </c>
      <c r="G103" s="3">
        <v>40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40</v>
      </c>
      <c r="P103" s="3">
        <v>1</v>
      </c>
    </row>
    <row r="104" spans="1:16">
      <c r="A104" s="3">
        <v>40.8</v>
      </c>
      <c r="B104" s="3">
        <v>20</v>
      </c>
      <c r="C104" s="3">
        <v>20</v>
      </c>
      <c r="D104" s="3">
        <v>20</v>
      </c>
      <c r="E104" s="3">
        <v>20</v>
      </c>
      <c r="F104" s="3">
        <v>20</v>
      </c>
      <c r="G104" s="3">
        <v>20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20</v>
      </c>
      <c r="P104" s="3">
        <v>1</v>
      </c>
    </row>
    <row r="105" spans="1:16">
      <c r="A105" s="3">
        <v>41</v>
      </c>
      <c r="B105" s="3">
        <v>50</v>
      </c>
      <c r="C105" s="3">
        <v>50</v>
      </c>
      <c r="D105" s="3">
        <v>50</v>
      </c>
      <c r="E105" s="3">
        <v>50</v>
      </c>
      <c r="F105" s="3">
        <v>50</v>
      </c>
      <c r="G105" s="3">
        <v>50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50</v>
      </c>
      <c r="P105" s="3">
        <v>1</v>
      </c>
    </row>
    <row r="106" spans="1:16">
      <c r="A106" s="3">
        <v>41.2</v>
      </c>
      <c r="B106" s="3">
        <v>10</v>
      </c>
      <c r="C106" s="3">
        <v>10</v>
      </c>
      <c r="D106" s="3">
        <v>10</v>
      </c>
      <c r="E106" s="3">
        <v>10</v>
      </c>
      <c r="F106" s="3">
        <v>10</v>
      </c>
      <c r="G106" s="3">
        <v>10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10</v>
      </c>
      <c r="P106" s="3">
        <v>1</v>
      </c>
    </row>
    <row r="107" spans="1:16">
      <c r="A107" s="3">
        <v>41.5</v>
      </c>
      <c r="B107" s="3">
        <v>10</v>
      </c>
      <c r="C107" s="3">
        <v>10</v>
      </c>
      <c r="D107" s="3">
        <v>10</v>
      </c>
      <c r="E107" s="3">
        <v>10</v>
      </c>
      <c r="F107" s="3">
        <v>10</v>
      </c>
      <c r="G107" s="3">
        <v>10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10</v>
      </c>
      <c r="P107" s="3">
        <v>1</v>
      </c>
    </row>
    <row r="108" spans="1:16">
      <c r="A108" s="3">
        <v>41.8</v>
      </c>
      <c r="B108" s="3">
        <v>10</v>
      </c>
      <c r="C108" s="3">
        <v>10</v>
      </c>
      <c r="D108" s="3">
        <v>10</v>
      </c>
      <c r="E108" s="3">
        <v>10</v>
      </c>
      <c r="F108" s="3">
        <v>10</v>
      </c>
      <c r="G108" s="3">
        <v>10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10</v>
      </c>
      <c r="P108" s="3">
        <v>1</v>
      </c>
    </row>
    <row r="109" spans="1:16">
      <c r="A109" s="3">
        <v>42</v>
      </c>
      <c r="B109" s="3">
        <v>30</v>
      </c>
      <c r="C109" s="3">
        <v>30</v>
      </c>
      <c r="D109" s="3">
        <v>30</v>
      </c>
      <c r="E109" s="3">
        <v>30</v>
      </c>
      <c r="F109" s="3">
        <v>30</v>
      </c>
      <c r="G109" s="3">
        <v>30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30</v>
      </c>
      <c r="P109" s="3">
        <v>1</v>
      </c>
    </row>
    <row r="110" spans="1:16">
      <c r="A110" s="3">
        <v>42.5</v>
      </c>
      <c r="B110" s="3">
        <v>20</v>
      </c>
      <c r="C110" s="3">
        <v>20</v>
      </c>
      <c r="D110" s="3">
        <v>20</v>
      </c>
      <c r="E110" s="3">
        <v>20</v>
      </c>
      <c r="F110" s="3">
        <v>20</v>
      </c>
      <c r="G110" s="3">
        <v>20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20</v>
      </c>
      <c r="P110" s="3">
        <v>1</v>
      </c>
    </row>
    <row r="111" spans="1:16">
      <c r="A111" s="3">
        <v>43</v>
      </c>
      <c r="B111" s="3">
        <v>20</v>
      </c>
      <c r="C111" s="3">
        <v>20</v>
      </c>
      <c r="D111" s="3">
        <v>20</v>
      </c>
      <c r="E111" s="3">
        <v>20</v>
      </c>
      <c r="F111" s="3">
        <v>20</v>
      </c>
      <c r="G111" s="3">
        <v>20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20</v>
      </c>
      <c r="P111" s="3">
        <v>1</v>
      </c>
    </row>
    <row r="112" spans="1:16">
      <c r="A112" s="3">
        <v>43.5</v>
      </c>
      <c r="B112" s="3">
        <v>10</v>
      </c>
      <c r="C112" s="3">
        <v>10</v>
      </c>
      <c r="D112" s="3">
        <v>10</v>
      </c>
      <c r="E112" s="3">
        <v>10</v>
      </c>
      <c r="F112" s="3">
        <v>10</v>
      </c>
      <c r="G112" s="3">
        <v>10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10</v>
      </c>
      <c r="P112" s="3">
        <v>1</v>
      </c>
    </row>
    <row r="113" spans="1:16">
      <c r="A113" s="3">
        <v>45</v>
      </c>
      <c r="B113" s="3">
        <v>210</v>
      </c>
      <c r="C113" s="3">
        <v>210</v>
      </c>
      <c r="D113" s="3">
        <v>210</v>
      </c>
      <c r="E113" s="3">
        <v>210</v>
      </c>
      <c r="F113" s="3">
        <v>210</v>
      </c>
      <c r="G113" s="3">
        <v>210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210</v>
      </c>
      <c r="P113" s="3">
        <v>1</v>
      </c>
    </row>
    <row r="114" spans="1:16">
      <c r="A114" s="3">
        <v>46</v>
      </c>
      <c r="B114" s="3">
        <v>20</v>
      </c>
      <c r="C114" s="3">
        <v>20</v>
      </c>
      <c r="D114" s="3">
        <v>20</v>
      </c>
      <c r="E114" s="3">
        <v>20</v>
      </c>
      <c r="F114" s="3">
        <v>20</v>
      </c>
      <c r="G114" s="3">
        <v>20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20</v>
      </c>
      <c r="P114" s="3">
        <v>1</v>
      </c>
    </row>
    <row r="115" spans="1:16">
      <c r="A115" s="3">
        <v>46.5</v>
      </c>
      <c r="B115" s="3">
        <v>10</v>
      </c>
      <c r="C115" s="3">
        <v>10</v>
      </c>
      <c r="D115" s="3">
        <v>10</v>
      </c>
      <c r="E115" s="3">
        <v>10</v>
      </c>
      <c r="F115" s="3">
        <v>10</v>
      </c>
      <c r="G115" s="3">
        <v>10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10</v>
      </c>
      <c r="P115" s="3">
        <v>1</v>
      </c>
    </row>
    <row r="116" spans="1:16">
      <c r="A116" s="3">
        <v>50</v>
      </c>
      <c r="B116" s="3">
        <v>270</v>
      </c>
      <c r="C116" s="3">
        <v>270</v>
      </c>
      <c r="D116" s="3">
        <v>270</v>
      </c>
      <c r="E116" s="3">
        <v>270</v>
      </c>
      <c r="F116" s="3">
        <v>270</v>
      </c>
      <c r="G116" s="3">
        <v>270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270</v>
      </c>
      <c r="P116" s="3">
        <v>1</v>
      </c>
    </row>
    <row r="117" spans="1:16">
      <c r="A117" s="3">
        <v>50.3</v>
      </c>
      <c r="B117" s="3">
        <v>20</v>
      </c>
      <c r="C117" s="3">
        <v>20</v>
      </c>
      <c r="D117" s="3">
        <v>20</v>
      </c>
      <c r="E117" s="3">
        <v>20</v>
      </c>
      <c r="F117" s="3">
        <v>20</v>
      </c>
      <c r="G117" s="3">
        <v>9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20</v>
      </c>
      <c r="P117" s="3">
        <v>1</v>
      </c>
    </row>
    <row r="118" spans="1:16">
      <c r="A118" s="3">
        <v>50.5</v>
      </c>
      <c r="B118" s="3">
        <v>20</v>
      </c>
      <c r="C118" s="3">
        <v>20</v>
      </c>
      <c r="D118" s="3">
        <v>20</v>
      </c>
      <c r="E118" s="3">
        <v>20</v>
      </c>
      <c r="F118" s="3">
        <v>20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20</v>
      </c>
      <c r="P118" s="3">
        <v>1</v>
      </c>
    </row>
    <row r="119" spans="1:16">
      <c r="A119" s="3">
        <v>50.6</v>
      </c>
      <c r="B119" s="3">
        <v>30</v>
      </c>
      <c r="C119" s="3">
        <v>30</v>
      </c>
      <c r="D119" s="3">
        <v>30</v>
      </c>
      <c r="E119" s="3">
        <v>30</v>
      </c>
      <c r="F119" s="3">
        <v>30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30</v>
      </c>
      <c r="P119" s="3">
        <v>1</v>
      </c>
    </row>
    <row r="120" spans="1:16">
      <c r="A120" s="3">
        <v>51</v>
      </c>
      <c r="B120" s="3">
        <v>20</v>
      </c>
      <c r="C120" s="3">
        <v>20</v>
      </c>
      <c r="D120" s="3">
        <v>20</v>
      </c>
      <c r="E120" s="3">
        <v>20</v>
      </c>
      <c r="F120" s="3">
        <v>20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20</v>
      </c>
      <c r="P120" s="3">
        <v>1</v>
      </c>
    </row>
    <row r="121" spans="1:16">
      <c r="A121" s="3">
        <v>51.5</v>
      </c>
      <c r="B121" s="3">
        <v>20</v>
      </c>
      <c r="C121" s="3">
        <v>20</v>
      </c>
      <c r="D121" s="3">
        <v>20</v>
      </c>
      <c r="E121" s="3">
        <v>20</v>
      </c>
      <c r="F121" s="3">
        <v>20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20</v>
      </c>
      <c r="P121" s="3">
        <v>1</v>
      </c>
    </row>
    <row r="122" spans="1:16">
      <c r="A122" s="3">
        <v>51.7</v>
      </c>
      <c r="B122" s="3">
        <v>10</v>
      </c>
      <c r="C122" s="3">
        <v>10</v>
      </c>
      <c r="D122" s="3">
        <v>10</v>
      </c>
      <c r="E122" s="3">
        <v>10</v>
      </c>
      <c r="F122" s="3">
        <v>10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10</v>
      </c>
      <c r="P122" s="3">
        <v>1</v>
      </c>
    </row>
    <row r="123" spans="1:16">
      <c r="A123" s="3">
        <v>52</v>
      </c>
      <c r="B123" s="3">
        <v>50</v>
      </c>
      <c r="C123" s="3">
        <v>50</v>
      </c>
      <c r="D123" s="3">
        <v>50</v>
      </c>
      <c r="E123" s="3">
        <v>50</v>
      </c>
      <c r="F123" s="3">
        <v>50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50</v>
      </c>
      <c r="P123" s="3">
        <v>1</v>
      </c>
    </row>
    <row r="124" spans="1:16">
      <c r="A124" s="3">
        <v>52.2</v>
      </c>
      <c r="B124" s="3">
        <v>10</v>
      </c>
      <c r="C124" s="3">
        <v>10</v>
      </c>
      <c r="D124" s="3">
        <v>10</v>
      </c>
      <c r="E124" s="3">
        <v>10</v>
      </c>
      <c r="F124" s="3">
        <v>10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10</v>
      </c>
      <c r="P124" s="3">
        <v>1</v>
      </c>
    </row>
    <row r="125" spans="1:16">
      <c r="A125" s="3">
        <v>52.3</v>
      </c>
      <c r="B125" s="3">
        <v>10</v>
      </c>
      <c r="C125" s="3">
        <v>10</v>
      </c>
      <c r="D125" s="3">
        <v>10</v>
      </c>
      <c r="E125" s="3">
        <v>10</v>
      </c>
      <c r="F125" s="3">
        <v>10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10</v>
      </c>
      <c r="P125" s="3">
        <v>1</v>
      </c>
    </row>
    <row r="126" spans="1:16">
      <c r="A126" s="3">
        <v>52.5</v>
      </c>
      <c r="B126" s="3">
        <v>10</v>
      </c>
      <c r="C126" s="3">
        <v>10</v>
      </c>
      <c r="D126" s="3">
        <v>10</v>
      </c>
      <c r="E126" s="3">
        <v>10</v>
      </c>
      <c r="F126" s="3">
        <v>10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10</v>
      </c>
      <c r="P126" s="3">
        <v>1</v>
      </c>
    </row>
    <row r="127" spans="1:16">
      <c r="A127" s="3">
        <v>54</v>
      </c>
      <c r="B127" s="3">
        <v>20</v>
      </c>
      <c r="C127" s="3">
        <v>20</v>
      </c>
      <c r="D127" s="3">
        <v>20</v>
      </c>
      <c r="E127" s="3">
        <v>20</v>
      </c>
      <c r="F127" s="3">
        <v>20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20</v>
      </c>
      <c r="P127" s="3">
        <v>1</v>
      </c>
    </row>
    <row r="128" spans="1:16">
      <c r="A128" s="3">
        <v>54.3</v>
      </c>
      <c r="B128" s="3">
        <v>10</v>
      </c>
      <c r="C128" s="3">
        <v>10</v>
      </c>
      <c r="D128" s="3">
        <v>10</v>
      </c>
      <c r="E128" s="3">
        <v>10</v>
      </c>
      <c r="F128" s="3">
        <v>10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10</v>
      </c>
      <c r="P128" s="3">
        <v>1</v>
      </c>
    </row>
    <row r="129" spans="1:16">
      <c r="A129" s="3">
        <v>55</v>
      </c>
      <c r="B129" s="3">
        <v>70</v>
      </c>
      <c r="C129" s="3">
        <v>70</v>
      </c>
      <c r="D129" s="3">
        <v>70</v>
      </c>
      <c r="E129" s="3">
        <v>70</v>
      </c>
      <c r="F129" s="3">
        <v>70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70</v>
      </c>
      <c r="P129" s="3">
        <v>1</v>
      </c>
    </row>
    <row r="130" spans="1:16">
      <c r="A130" s="3">
        <v>55.3</v>
      </c>
      <c r="B130" s="3">
        <v>10</v>
      </c>
      <c r="C130" s="3">
        <v>10</v>
      </c>
      <c r="D130" s="3">
        <v>10</v>
      </c>
      <c r="E130" s="3">
        <v>10</v>
      </c>
      <c r="F130" s="3">
        <v>10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10</v>
      </c>
      <c r="P130" s="3">
        <v>1</v>
      </c>
    </row>
    <row r="131" spans="1:16">
      <c r="A131" s="3">
        <v>56.2</v>
      </c>
      <c r="B131" s="3">
        <v>10</v>
      </c>
      <c r="C131" s="3">
        <v>10</v>
      </c>
      <c r="D131" s="3">
        <v>10</v>
      </c>
      <c r="E131" s="3">
        <v>10</v>
      </c>
      <c r="F131" s="3">
        <v>10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10</v>
      </c>
      <c r="P131" s="3">
        <v>1</v>
      </c>
    </row>
    <row r="132" spans="1:16">
      <c r="A132" s="3">
        <v>57</v>
      </c>
      <c r="B132" s="3">
        <v>10</v>
      </c>
      <c r="C132" s="3">
        <v>10</v>
      </c>
      <c r="D132" s="3">
        <v>10</v>
      </c>
      <c r="E132" s="3">
        <v>10</v>
      </c>
      <c r="F132" s="3">
        <v>10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10</v>
      </c>
      <c r="P132" s="3">
        <v>1</v>
      </c>
    </row>
    <row r="133" spans="1:16">
      <c r="A133" s="3">
        <v>58.3</v>
      </c>
      <c r="B133" s="3">
        <v>20</v>
      </c>
      <c r="C133" s="3">
        <v>20</v>
      </c>
      <c r="D133" s="3">
        <v>20</v>
      </c>
      <c r="E133" s="3">
        <v>20</v>
      </c>
      <c r="F133" s="3">
        <v>20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20</v>
      </c>
      <c r="P133" s="3">
        <v>1</v>
      </c>
    </row>
    <row r="134" spans="1:16">
      <c r="A134" s="3">
        <v>58.5</v>
      </c>
      <c r="B134" s="3">
        <v>10</v>
      </c>
      <c r="C134" s="3">
        <v>10</v>
      </c>
      <c r="D134" s="3">
        <v>10</v>
      </c>
      <c r="E134" s="3">
        <v>10</v>
      </c>
      <c r="F134" s="3">
        <v>10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10</v>
      </c>
      <c r="P134" s="3">
        <v>1</v>
      </c>
    </row>
    <row r="135" spans="1:16">
      <c r="A135" s="3">
        <v>60</v>
      </c>
      <c r="B135" s="3">
        <v>120</v>
      </c>
      <c r="C135" s="3">
        <v>120</v>
      </c>
      <c r="D135" s="3">
        <v>120</v>
      </c>
      <c r="E135" s="3">
        <v>120</v>
      </c>
      <c r="F135" s="3">
        <v>120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120</v>
      </c>
      <c r="P135" s="3">
        <v>1</v>
      </c>
    </row>
    <row r="136" spans="1:16">
      <c r="A136" s="3">
        <v>60.3</v>
      </c>
      <c r="B136" s="3">
        <v>15</v>
      </c>
      <c r="C136" s="3">
        <v>15</v>
      </c>
      <c r="D136" s="3">
        <v>15</v>
      </c>
      <c r="E136" s="3">
        <v>15</v>
      </c>
      <c r="F136" s="3">
        <v>15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15</v>
      </c>
      <c r="P136" s="3">
        <v>1</v>
      </c>
    </row>
    <row r="137" spans="1:16">
      <c r="A137" s="3">
        <v>60.5</v>
      </c>
      <c r="B137" s="3">
        <v>10</v>
      </c>
      <c r="C137" s="3">
        <v>10</v>
      </c>
      <c r="D137" s="3">
        <v>10</v>
      </c>
      <c r="E137" s="3">
        <v>10</v>
      </c>
      <c r="F137" s="3">
        <v>10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10</v>
      </c>
      <c r="P137" s="3">
        <v>1</v>
      </c>
    </row>
    <row r="138" spans="1:16">
      <c r="A138" s="3">
        <v>61</v>
      </c>
      <c r="B138" s="3">
        <v>20</v>
      </c>
      <c r="C138" s="3">
        <v>20</v>
      </c>
      <c r="D138" s="3">
        <v>20</v>
      </c>
      <c r="E138" s="3">
        <v>20</v>
      </c>
      <c r="F138" s="3">
        <v>20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20</v>
      </c>
      <c r="P138" s="3">
        <v>1</v>
      </c>
    </row>
    <row r="139" spans="1:16">
      <c r="A139" s="3">
        <v>61.2</v>
      </c>
      <c r="B139" s="3">
        <v>10</v>
      </c>
      <c r="C139" s="3">
        <v>10</v>
      </c>
      <c r="D139" s="3">
        <v>10</v>
      </c>
      <c r="E139" s="3">
        <v>10</v>
      </c>
      <c r="F139" s="3">
        <v>10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10</v>
      </c>
      <c r="P139" s="3">
        <v>1</v>
      </c>
    </row>
    <row r="140" spans="1:16">
      <c r="A140" s="3">
        <v>61.5</v>
      </c>
      <c r="B140" s="3">
        <v>10</v>
      </c>
      <c r="C140" s="3">
        <v>10</v>
      </c>
      <c r="D140" s="3">
        <v>10</v>
      </c>
      <c r="E140" s="3">
        <v>10</v>
      </c>
      <c r="F140" s="3">
        <v>10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10</v>
      </c>
      <c r="P140" s="3">
        <v>1</v>
      </c>
    </row>
    <row r="141" spans="1:16">
      <c r="A141" s="3">
        <v>62</v>
      </c>
      <c r="B141" s="3">
        <v>25</v>
      </c>
      <c r="C141" s="3">
        <v>25</v>
      </c>
      <c r="D141" s="3">
        <v>25</v>
      </c>
      <c r="E141" s="3">
        <v>25</v>
      </c>
      <c r="F141" s="3">
        <v>25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25</v>
      </c>
      <c r="P141" s="3">
        <v>1</v>
      </c>
    </row>
    <row r="142" spans="1:16">
      <c r="A142" s="3">
        <v>62.3</v>
      </c>
      <c r="B142" s="3">
        <v>6</v>
      </c>
      <c r="C142" s="3">
        <v>6</v>
      </c>
      <c r="D142" s="3">
        <v>6</v>
      </c>
      <c r="E142" s="3">
        <v>6</v>
      </c>
      <c r="F142" s="3">
        <v>6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6</v>
      </c>
      <c r="P142" s="3">
        <v>1</v>
      </c>
    </row>
    <row r="143" spans="1:16">
      <c r="A143" s="3">
        <v>62.5</v>
      </c>
      <c r="B143" s="3">
        <v>6</v>
      </c>
      <c r="C143" s="3">
        <v>6</v>
      </c>
      <c r="D143" s="3">
        <v>6</v>
      </c>
      <c r="E143" s="3">
        <v>6</v>
      </c>
      <c r="F143" s="3">
        <v>6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6</v>
      </c>
      <c r="P143" s="3">
        <v>1</v>
      </c>
    </row>
    <row r="144" spans="1:16">
      <c r="A144" s="3">
        <v>63</v>
      </c>
      <c r="B144" s="3">
        <v>25</v>
      </c>
      <c r="C144" s="3">
        <v>25</v>
      </c>
      <c r="D144" s="3">
        <v>25</v>
      </c>
      <c r="E144" s="3">
        <v>25</v>
      </c>
      <c r="F144" s="3">
        <v>25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25</v>
      </c>
      <c r="P144" s="3">
        <v>1</v>
      </c>
    </row>
    <row r="145" spans="1:16">
      <c r="A145" s="3">
        <v>63.2</v>
      </c>
      <c r="B145" s="3">
        <v>5</v>
      </c>
      <c r="C145" s="3">
        <v>5</v>
      </c>
      <c r="D145" s="3">
        <v>5</v>
      </c>
      <c r="E145" s="3">
        <v>5</v>
      </c>
      <c r="F145" s="3">
        <v>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5</v>
      </c>
      <c r="P145" s="3">
        <v>1</v>
      </c>
    </row>
    <row r="146" spans="1:16">
      <c r="A146" s="3">
        <v>64.5</v>
      </c>
      <c r="B146" s="3">
        <v>5</v>
      </c>
      <c r="C146" s="3">
        <v>5</v>
      </c>
      <c r="D146" s="3">
        <v>5</v>
      </c>
      <c r="E146" s="3">
        <v>5</v>
      </c>
      <c r="F146" s="3">
        <v>5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5</v>
      </c>
      <c r="P146" s="3">
        <v>1</v>
      </c>
    </row>
    <row r="147" spans="1:16">
      <c r="A147" s="3">
        <v>65</v>
      </c>
      <c r="B147" s="3">
        <v>15</v>
      </c>
      <c r="C147" s="3">
        <v>15</v>
      </c>
      <c r="D147" s="3">
        <v>15</v>
      </c>
      <c r="E147" s="3">
        <v>15</v>
      </c>
      <c r="F147" s="3">
        <v>15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15</v>
      </c>
      <c r="P147" s="3">
        <v>1</v>
      </c>
    </row>
    <row r="148" spans="1:16">
      <c r="A148" s="3">
        <v>65.3</v>
      </c>
      <c r="B148" s="3">
        <v>5</v>
      </c>
      <c r="C148" s="3">
        <v>5</v>
      </c>
      <c r="D148" s="3">
        <v>5</v>
      </c>
      <c r="E148" s="3">
        <v>5</v>
      </c>
      <c r="F148" s="3">
        <v>5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5</v>
      </c>
      <c r="P148" s="3">
        <v>1</v>
      </c>
    </row>
    <row r="149" spans="1:16">
      <c r="A149" s="3">
        <v>65.5</v>
      </c>
      <c r="B149" s="3">
        <v>30</v>
      </c>
      <c r="C149" s="3">
        <v>30</v>
      </c>
      <c r="D149" s="3">
        <v>30</v>
      </c>
      <c r="E149" s="3">
        <v>30</v>
      </c>
      <c r="F149" s="3">
        <v>30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30</v>
      </c>
      <c r="P149" s="3">
        <v>1</v>
      </c>
    </row>
    <row r="150" spans="1:16">
      <c r="A150" s="3">
        <v>66</v>
      </c>
      <c r="B150" s="3">
        <v>15</v>
      </c>
      <c r="C150" s="3">
        <v>15</v>
      </c>
      <c r="D150" s="3">
        <v>15</v>
      </c>
      <c r="E150" s="3">
        <v>15</v>
      </c>
      <c r="F150" s="3">
        <v>15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15</v>
      </c>
      <c r="P150" s="3">
        <v>1</v>
      </c>
    </row>
    <row r="151" spans="1:16">
      <c r="A151" s="3">
        <v>67</v>
      </c>
      <c r="B151" s="3">
        <v>10</v>
      </c>
      <c r="C151" s="3">
        <v>10</v>
      </c>
      <c r="D151" s="3">
        <v>10</v>
      </c>
      <c r="E151" s="3">
        <v>10</v>
      </c>
      <c r="F151" s="3">
        <v>10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10</v>
      </c>
      <c r="P151" s="3">
        <v>1</v>
      </c>
    </row>
    <row r="152" spans="1:16">
      <c r="A152" s="3">
        <v>68</v>
      </c>
      <c r="B152" s="3">
        <v>15</v>
      </c>
      <c r="C152" s="3">
        <v>15</v>
      </c>
      <c r="D152" s="3">
        <v>15</v>
      </c>
      <c r="E152" s="3">
        <v>15</v>
      </c>
      <c r="F152" s="3">
        <v>15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15</v>
      </c>
      <c r="P152" s="3">
        <v>1</v>
      </c>
    </row>
    <row r="153" spans="1:16">
      <c r="A153" s="3">
        <v>68.3</v>
      </c>
      <c r="B153" s="3">
        <v>5</v>
      </c>
      <c r="C153" s="3">
        <v>5</v>
      </c>
      <c r="D153" s="3">
        <v>5</v>
      </c>
      <c r="E153" s="3">
        <v>5</v>
      </c>
      <c r="F153" s="3">
        <v>5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5</v>
      </c>
      <c r="P153" s="3">
        <v>1</v>
      </c>
    </row>
    <row r="154" spans="1:16">
      <c r="A154" s="3">
        <v>70</v>
      </c>
      <c r="B154" s="3">
        <v>70</v>
      </c>
      <c r="C154" s="3">
        <v>70</v>
      </c>
      <c r="D154" s="3">
        <v>70</v>
      </c>
      <c r="E154" s="3">
        <v>70</v>
      </c>
      <c r="F154" s="3">
        <v>56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70</v>
      </c>
      <c r="P154" s="3">
        <v>1</v>
      </c>
    </row>
    <row r="155" spans="1:16">
      <c r="A155" s="3">
        <v>70.3</v>
      </c>
      <c r="B155" s="3">
        <v>40</v>
      </c>
      <c r="C155" s="3">
        <v>40</v>
      </c>
      <c r="D155" s="3">
        <v>40</v>
      </c>
      <c r="E155" s="3">
        <v>40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40</v>
      </c>
      <c r="P155" s="3">
        <v>1</v>
      </c>
    </row>
    <row r="156" spans="1:16">
      <c r="A156" s="3">
        <v>70.5</v>
      </c>
      <c r="B156" s="3">
        <v>15</v>
      </c>
      <c r="C156" s="3">
        <v>15</v>
      </c>
      <c r="D156" s="3">
        <v>15</v>
      </c>
      <c r="E156" s="3">
        <v>15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15</v>
      </c>
      <c r="P156" s="3">
        <v>1</v>
      </c>
    </row>
    <row r="157" spans="1:16">
      <c r="A157" s="3">
        <v>71</v>
      </c>
      <c r="B157" s="3">
        <v>10</v>
      </c>
      <c r="C157" s="3">
        <v>10</v>
      </c>
      <c r="D157" s="3">
        <v>10</v>
      </c>
      <c r="E157" s="3">
        <v>10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10</v>
      </c>
      <c r="P157" s="3">
        <v>1</v>
      </c>
    </row>
    <row r="158" spans="1:16">
      <c r="A158" s="3">
        <v>71.2</v>
      </c>
      <c r="B158" s="3">
        <v>5</v>
      </c>
      <c r="C158" s="3">
        <v>5</v>
      </c>
      <c r="D158" s="3">
        <v>5</v>
      </c>
      <c r="E158" s="3">
        <v>5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5</v>
      </c>
      <c r="P158" s="3">
        <v>1</v>
      </c>
    </row>
    <row r="159" spans="1:16">
      <c r="A159" s="3">
        <v>72</v>
      </c>
      <c r="B159" s="3">
        <v>25</v>
      </c>
      <c r="C159" s="3">
        <v>25</v>
      </c>
      <c r="D159" s="3">
        <v>25</v>
      </c>
      <c r="E159" s="3">
        <v>25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25</v>
      </c>
      <c r="P159" s="3">
        <v>1</v>
      </c>
    </row>
    <row r="160" spans="1:16">
      <c r="A160" s="3">
        <v>74</v>
      </c>
      <c r="B160" s="3">
        <v>10</v>
      </c>
      <c r="C160" s="3">
        <v>10</v>
      </c>
      <c r="D160" s="3">
        <v>10</v>
      </c>
      <c r="E160" s="3">
        <v>10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10</v>
      </c>
      <c r="P160" s="3">
        <v>1</v>
      </c>
    </row>
    <row r="161" spans="1:16">
      <c r="A161" s="3">
        <v>75</v>
      </c>
      <c r="B161" s="3">
        <v>45</v>
      </c>
      <c r="C161" s="3">
        <v>45</v>
      </c>
      <c r="D161" s="3">
        <v>45</v>
      </c>
      <c r="E161" s="3">
        <v>45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45</v>
      </c>
      <c r="P161" s="3">
        <v>1</v>
      </c>
    </row>
    <row r="162" spans="1:16">
      <c r="A162" s="3">
        <v>75.3</v>
      </c>
      <c r="B162" s="3">
        <v>5</v>
      </c>
      <c r="C162" s="3">
        <v>5</v>
      </c>
      <c r="D162" s="3">
        <v>5</v>
      </c>
      <c r="E162" s="3">
        <v>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5</v>
      </c>
      <c r="P162" s="3">
        <v>1</v>
      </c>
    </row>
    <row r="163" spans="1:16">
      <c r="A163" s="3">
        <v>80</v>
      </c>
      <c r="B163" s="3">
        <v>58</v>
      </c>
      <c r="C163" s="3">
        <v>58</v>
      </c>
      <c r="D163" s="3">
        <v>58</v>
      </c>
      <c r="E163" s="3">
        <v>58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58</v>
      </c>
      <c r="P163" s="3">
        <v>1</v>
      </c>
    </row>
    <row r="164" spans="1:16">
      <c r="A164" s="3">
        <v>80.5</v>
      </c>
      <c r="B164" s="3">
        <v>2</v>
      </c>
      <c r="C164" s="3">
        <v>2</v>
      </c>
      <c r="D164" s="3">
        <v>2</v>
      </c>
      <c r="E164" s="3">
        <v>2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2</v>
      </c>
      <c r="P164" s="3">
        <v>1</v>
      </c>
    </row>
    <row r="165" spans="1:16">
      <c r="A165" s="3">
        <v>80.6</v>
      </c>
      <c r="B165" s="3">
        <v>4</v>
      </c>
      <c r="C165" s="3">
        <v>4</v>
      </c>
      <c r="D165" s="3">
        <v>4</v>
      </c>
      <c r="E165" s="3">
        <v>2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4</v>
      </c>
      <c r="P165" s="3">
        <v>1</v>
      </c>
    </row>
    <row r="166" spans="1:16">
      <c r="A166" s="3">
        <v>80.8</v>
      </c>
      <c r="B166" s="3">
        <v>2</v>
      </c>
      <c r="C166" s="3">
        <v>2</v>
      </c>
      <c r="D166" s="3">
        <v>2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2</v>
      </c>
      <c r="P166" s="3">
        <v>1</v>
      </c>
    </row>
    <row r="167" spans="1:16">
      <c r="A167" s="3">
        <v>81</v>
      </c>
      <c r="B167" s="3">
        <v>2</v>
      </c>
      <c r="C167" s="3">
        <v>2</v>
      </c>
      <c r="D167" s="3">
        <v>2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2</v>
      </c>
      <c r="P167" s="3">
        <v>1</v>
      </c>
    </row>
    <row r="168" spans="1:16">
      <c r="A168" s="3">
        <v>81.2</v>
      </c>
      <c r="B168" s="3">
        <v>2</v>
      </c>
      <c r="C168" s="3">
        <v>2</v>
      </c>
      <c r="D168" s="3">
        <v>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2</v>
      </c>
      <c r="P168" s="3">
        <v>1</v>
      </c>
    </row>
    <row r="169" spans="1:16">
      <c r="A169" s="3">
        <v>82</v>
      </c>
      <c r="B169" s="3">
        <v>16</v>
      </c>
      <c r="C169" s="3">
        <v>16</v>
      </c>
      <c r="D169" s="3">
        <v>16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16</v>
      </c>
      <c r="P169" s="3">
        <v>1</v>
      </c>
    </row>
    <row r="170" spans="1:16">
      <c r="A170" s="3">
        <v>82.5</v>
      </c>
      <c r="B170" s="3">
        <v>6</v>
      </c>
      <c r="C170" s="3">
        <v>6</v>
      </c>
      <c r="D170" s="3">
        <v>6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6</v>
      </c>
      <c r="P170" s="3">
        <v>1</v>
      </c>
    </row>
    <row r="171" spans="1:16">
      <c r="A171" s="3">
        <v>82.8</v>
      </c>
      <c r="B171" s="3">
        <v>4</v>
      </c>
      <c r="C171" s="3">
        <v>4</v>
      </c>
      <c r="D171" s="3">
        <v>4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4</v>
      </c>
      <c r="P171" s="3">
        <v>1</v>
      </c>
    </row>
    <row r="172" spans="1:16">
      <c r="A172" s="3">
        <v>83.3</v>
      </c>
      <c r="B172" s="3">
        <v>2</v>
      </c>
      <c r="C172" s="3">
        <v>2</v>
      </c>
      <c r="D172" s="3">
        <v>2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2</v>
      </c>
      <c r="P172" s="3">
        <v>1</v>
      </c>
    </row>
    <row r="173" spans="1:16">
      <c r="A173" s="3">
        <v>83.5</v>
      </c>
      <c r="B173" s="3">
        <v>6</v>
      </c>
      <c r="C173" s="3">
        <v>6</v>
      </c>
      <c r="D173" s="3">
        <v>6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6</v>
      </c>
      <c r="P173" s="3">
        <v>1</v>
      </c>
    </row>
    <row r="174" spans="1:16">
      <c r="A174" s="3">
        <v>84</v>
      </c>
      <c r="B174" s="3">
        <v>4</v>
      </c>
      <c r="C174" s="3">
        <v>4</v>
      </c>
      <c r="D174" s="3">
        <v>4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4</v>
      </c>
      <c r="P174" s="3">
        <v>1</v>
      </c>
    </row>
    <row r="175" spans="1:16">
      <c r="A175" s="3">
        <v>84.3</v>
      </c>
      <c r="B175" s="3">
        <v>2</v>
      </c>
      <c r="C175" s="3">
        <v>2</v>
      </c>
      <c r="D175" s="3">
        <v>2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2</v>
      </c>
      <c r="P175" s="3">
        <v>1</v>
      </c>
    </row>
    <row r="176" spans="1:16">
      <c r="A176" s="3">
        <v>84.5</v>
      </c>
      <c r="B176" s="3">
        <v>4</v>
      </c>
      <c r="C176" s="3">
        <v>4</v>
      </c>
      <c r="D176" s="3">
        <v>4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4</v>
      </c>
      <c r="P176" s="3">
        <v>1</v>
      </c>
    </row>
    <row r="177" spans="1:16">
      <c r="A177" s="3">
        <v>84.6</v>
      </c>
      <c r="B177" s="3">
        <v>2</v>
      </c>
      <c r="C177" s="3">
        <v>2</v>
      </c>
      <c r="D177" s="3">
        <v>2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2</v>
      </c>
      <c r="P177" s="3">
        <v>1</v>
      </c>
    </row>
    <row r="178" spans="1:16">
      <c r="A178" s="3">
        <v>85</v>
      </c>
      <c r="B178" s="3">
        <v>2</v>
      </c>
      <c r="C178" s="3">
        <v>2</v>
      </c>
      <c r="D178" s="3">
        <v>2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2</v>
      </c>
      <c r="P178" s="3">
        <v>1</v>
      </c>
    </row>
    <row r="179" spans="1:16">
      <c r="A179" s="3">
        <v>85.2</v>
      </c>
      <c r="B179" s="3">
        <v>2</v>
      </c>
      <c r="C179" s="3">
        <v>2</v>
      </c>
      <c r="D179" s="3">
        <v>2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2</v>
      </c>
      <c r="P179" s="3">
        <v>1</v>
      </c>
    </row>
    <row r="180" spans="1:16">
      <c r="A180" s="3">
        <v>85.3</v>
      </c>
      <c r="B180" s="3">
        <v>4</v>
      </c>
      <c r="C180" s="3">
        <v>4</v>
      </c>
      <c r="D180" s="3">
        <v>4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4</v>
      </c>
      <c r="P180" s="3">
        <v>1</v>
      </c>
    </row>
    <row r="181" spans="1:16">
      <c r="A181" s="3">
        <v>85.5</v>
      </c>
      <c r="B181" s="3">
        <v>2</v>
      </c>
      <c r="C181" s="3">
        <v>2</v>
      </c>
      <c r="D181" s="3">
        <v>2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2</v>
      </c>
      <c r="P181" s="3">
        <v>1</v>
      </c>
    </row>
    <row r="182" spans="1:16">
      <c r="A182" s="3">
        <v>86.5</v>
      </c>
      <c r="B182" s="3">
        <v>2</v>
      </c>
      <c r="C182" s="3">
        <v>2</v>
      </c>
      <c r="D182" s="3">
        <v>2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2</v>
      </c>
      <c r="P182" s="3">
        <v>1</v>
      </c>
    </row>
    <row r="183" spans="1:16">
      <c r="A183" s="3">
        <v>90</v>
      </c>
      <c r="B183" s="3">
        <v>50</v>
      </c>
      <c r="C183" s="3">
        <v>50</v>
      </c>
      <c r="D183" s="3">
        <v>50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50</v>
      </c>
      <c r="P183" s="3">
        <v>1</v>
      </c>
    </row>
    <row r="184" spans="1:16">
      <c r="A184" s="3">
        <v>90.3</v>
      </c>
      <c r="B184" s="3">
        <v>15</v>
      </c>
      <c r="C184" s="3">
        <v>15</v>
      </c>
      <c r="D184" s="3">
        <v>15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15</v>
      </c>
      <c r="P184" s="3">
        <v>1</v>
      </c>
    </row>
    <row r="185" spans="1:16">
      <c r="A185" s="3">
        <v>90.5</v>
      </c>
      <c r="B185" s="3">
        <v>6</v>
      </c>
      <c r="C185" s="3">
        <v>6</v>
      </c>
      <c r="D185" s="3">
        <v>6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6</v>
      </c>
      <c r="P185" s="3">
        <v>1</v>
      </c>
    </row>
    <row r="186" spans="1:16">
      <c r="A186" s="3">
        <v>91</v>
      </c>
      <c r="B186" s="3">
        <v>8</v>
      </c>
      <c r="C186" s="3">
        <v>8</v>
      </c>
      <c r="D186" s="3">
        <v>8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8</v>
      </c>
      <c r="P186" s="3">
        <v>1</v>
      </c>
    </row>
    <row r="187" spans="1:16">
      <c r="A187" s="3">
        <v>91.5</v>
      </c>
      <c r="B187" s="3">
        <v>4</v>
      </c>
      <c r="C187" s="3">
        <v>4</v>
      </c>
      <c r="D187" s="3">
        <v>4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4</v>
      </c>
      <c r="P187" s="3">
        <v>1</v>
      </c>
    </row>
    <row r="188" spans="1:16">
      <c r="A188" s="3">
        <v>92</v>
      </c>
      <c r="B188" s="3">
        <v>2</v>
      </c>
      <c r="C188" s="3">
        <v>2</v>
      </c>
      <c r="D188" s="3">
        <v>2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2</v>
      </c>
      <c r="P188" s="3">
        <v>1</v>
      </c>
    </row>
    <row r="189" spans="1:16">
      <c r="A189" s="3">
        <v>92.2</v>
      </c>
      <c r="B189" s="3">
        <v>2</v>
      </c>
      <c r="C189" s="3">
        <v>2</v>
      </c>
      <c r="D189" s="3">
        <v>2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2</v>
      </c>
      <c r="P189" s="3">
        <v>1</v>
      </c>
    </row>
    <row r="190" spans="1:16">
      <c r="A190" s="3">
        <v>92.5</v>
      </c>
      <c r="B190" s="3">
        <v>2</v>
      </c>
      <c r="C190" s="3">
        <v>2</v>
      </c>
      <c r="D190" s="3">
        <v>2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</v>
      </c>
      <c r="P190" s="3">
        <v>1</v>
      </c>
    </row>
    <row r="191" spans="1:16">
      <c r="A191" s="3">
        <v>94</v>
      </c>
      <c r="B191" s="3">
        <v>2</v>
      </c>
      <c r="C191" s="3">
        <v>2</v>
      </c>
      <c r="D191" s="3">
        <v>2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2</v>
      </c>
      <c r="P191" s="3">
        <v>1</v>
      </c>
    </row>
    <row r="192" spans="1:16">
      <c r="A192" s="3">
        <v>94.3</v>
      </c>
      <c r="B192" s="3">
        <v>2</v>
      </c>
      <c r="C192" s="3">
        <v>2</v>
      </c>
      <c r="D192" s="3">
        <v>2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2</v>
      </c>
      <c r="P192" s="3">
        <v>1</v>
      </c>
    </row>
    <row r="193" spans="1:16">
      <c r="A193" s="3">
        <v>95</v>
      </c>
      <c r="B193" s="3">
        <v>18</v>
      </c>
      <c r="C193" s="3">
        <v>18</v>
      </c>
      <c r="D193" s="3">
        <v>18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18</v>
      </c>
      <c r="P193" s="3">
        <v>1</v>
      </c>
    </row>
    <row r="194" spans="1:16">
      <c r="A194" s="3">
        <v>100</v>
      </c>
      <c r="B194" s="3">
        <v>6</v>
      </c>
      <c r="C194" s="3">
        <v>6</v>
      </c>
      <c r="D194" s="3">
        <v>8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6</v>
      </c>
      <c r="P194" s="3">
        <v>1</v>
      </c>
    </row>
    <row r="195" spans="1:16">
      <c r="A195" s="3">
        <v>101</v>
      </c>
      <c r="B195" s="3">
        <v>2</v>
      </c>
      <c r="C195" s="3">
        <v>2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2</v>
      </c>
      <c r="P195" s="3">
        <v>1</v>
      </c>
    </row>
    <row r="196" spans="1:16">
      <c r="A196" s="3">
        <v>101.3</v>
      </c>
      <c r="B196" s="3">
        <v>2</v>
      </c>
      <c r="C196" s="3">
        <v>2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2</v>
      </c>
      <c r="P196" s="3">
        <v>1</v>
      </c>
    </row>
    <row r="197" spans="1:16">
      <c r="A197" s="3">
        <v>102.2</v>
      </c>
      <c r="B197" s="3">
        <v>4</v>
      </c>
      <c r="C197" s="3">
        <v>4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4</v>
      </c>
      <c r="P197" s="3">
        <v>1</v>
      </c>
    </row>
    <row r="198" spans="1:16">
      <c r="A198" s="3">
        <v>102.3</v>
      </c>
      <c r="B198" s="3">
        <v>2</v>
      </c>
      <c r="C198" s="3">
        <v>2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2</v>
      </c>
      <c r="P198" s="3">
        <v>1</v>
      </c>
    </row>
    <row r="199" spans="1:16">
      <c r="A199" s="3">
        <v>103.2</v>
      </c>
      <c r="B199" s="3">
        <v>2</v>
      </c>
      <c r="C199" s="3">
        <v>2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2</v>
      </c>
      <c r="P199" s="3">
        <v>1</v>
      </c>
    </row>
    <row r="200" spans="1:16">
      <c r="A200" s="3">
        <v>104</v>
      </c>
      <c r="B200" s="3">
        <v>4</v>
      </c>
      <c r="C200" s="3">
        <v>4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4</v>
      </c>
      <c r="P200" s="3">
        <v>1</v>
      </c>
    </row>
    <row r="201" spans="1:16">
      <c r="A201" s="3">
        <v>104.5</v>
      </c>
      <c r="B201" s="3">
        <v>2</v>
      </c>
      <c r="C201" s="3">
        <v>2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2</v>
      </c>
      <c r="P201" s="3">
        <v>1</v>
      </c>
    </row>
    <row r="202" spans="1:16">
      <c r="A202" s="3">
        <v>105.3</v>
      </c>
      <c r="B202" s="3">
        <v>2</v>
      </c>
      <c r="C202" s="3">
        <v>2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2</v>
      </c>
      <c r="P202" s="3">
        <v>1</v>
      </c>
    </row>
    <row r="203" spans="1:16">
      <c r="A203" s="3">
        <v>106</v>
      </c>
      <c r="B203" s="3">
        <v>2</v>
      </c>
      <c r="C203" s="3">
        <v>2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2</v>
      </c>
      <c r="P203" s="3">
        <v>1</v>
      </c>
    </row>
    <row r="204" spans="1:16">
      <c r="A204" s="3">
        <v>106.2</v>
      </c>
      <c r="B204" s="3">
        <v>2</v>
      </c>
      <c r="C204" s="3">
        <v>2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2</v>
      </c>
      <c r="P204" s="3">
        <v>1</v>
      </c>
    </row>
    <row r="205" spans="1:16">
      <c r="A205" s="3">
        <v>108.3</v>
      </c>
      <c r="B205" s="3">
        <v>2</v>
      </c>
      <c r="C205" s="3">
        <v>2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2</v>
      </c>
      <c r="P205" s="3">
        <v>1</v>
      </c>
    </row>
    <row r="206" spans="1:16">
      <c r="A206" s="3">
        <v>111.2</v>
      </c>
      <c r="B206" s="3">
        <v>2</v>
      </c>
      <c r="C206" s="3">
        <v>2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2</v>
      </c>
      <c r="P206" s="3">
        <v>1</v>
      </c>
    </row>
    <row r="207" spans="1:16">
      <c r="A207" s="3">
        <v>120.8</v>
      </c>
      <c r="B207" s="3">
        <v>4</v>
      </c>
      <c r="C207" s="3">
        <v>4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4</v>
      </c>
      <c r="P207" s="3">
        <v>1</v>
      </c>
    </row>
    <row r="208" spans="1:16">
      <c r="A208" s="3">
        <v>121</v>
      </c>
      <c r="B208" s="3">
        <v>2</v>
      </c>
      <c r="C208" s="3">
        <v>2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2</v>
      </c>
      <c r="P208" s="3">
        <v>1</v>
      </c>
    </row>
    <row r="209" spans="1:16">
      <c r="A209" s="3">
        <v>122</v>
      </c>
      <c r="B209" s="3">
        <v>2</v>
      </c>
      <c r="C209" s="3">
        <v>2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2</v>
      </c>
      <c r="P209" s="3">
        <v>1</v>
      </c>
    </row>
    <row r="210" spans="1:16">
      <c r="A210" s="3">
        <v>140.5</v>
      </c>
      <c r="B210" s="3">
        <v>2</v>
      </c>
      <c r="C210" s="3">
        <v>2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2</v>
      </c>
      <c r="P210" s="3">
        <v>1</v>
      </c>
    </row>
    <row r="211" spans="1:16">
      <c r="A211" s="3">
        <v>145</v>
      </c>
      <c r="B211" s="3">
        <v>2</v>
      </c>
      <c r="C211" s="3">
        <v>2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2</v>
      </c>
      <c r="P211" s="3">
        <v>1</v>
      </c>
    </row>
    <row r="212" spans="1:16">
      <c r="A212" s="3">
        <v>162.3</v>
      </c>
      <c r="B212" s="3">
        <v>2</v>
      </c>
      <c r="C212" s="3">
        <v>2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2</v>
      </c>
      <c r="P212" s="3">
        <v>1</v>
      </c>
    </row>
    <row r="213" spans="1:16">
      <c r="A213" s="3">
        <v>200</v>
      </c>
      <c r="B213" s="3">
        <v>20</v>
      </c>
      <c r="C213" s="3">
        <v>20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20</v>
      </c>
      <c r="P213" s="3">
        <v>1</v>
      </c>
    </row>
    <row r="214" spans="1:16">
      <c r="A214" s="3">
        <v>380</v>
      </c>
      <c r="B214" s="3">
        <v>2</v>
      </c>
      <c r="C214" s="3">
        <v>2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2</v>
      </c>
      <c r="P214" s="3">
        <v>1</v>
      </c>
    </row>
    <row r="215" spans="1:16">
      <c r="A215" s="3">
        <v>440</v>
      </c>
      <c r="B215" s="3">
        <v>2</v>
      </c>
      <c r="C215" s="3">
        <v>2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2</v>
      </c>
      <c r="P215" s="3">
        <v>1</v>
      </c>
    </row>
    <row r="216" spans="1:16">
      <c r="A216" s="3">
        <v>500</v>
      </c>
      <c r="B216" s="3">
        <v>8</v>
      </c>
      <c r="C216" s="3">
        <v>6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8</v>
      </c>
      <c r="P216" s="3">
        <v>1</v>
      </c>
    </row>
    <row r="217" spans="1:16">
      <c r="A217" s="3">
        <v>650</v>
      </c>
      <c r="B217" s="3">
        <v>1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1</v>
      </c>
      <c r="P217" s="3">
        <v>1</v>
      </c>
    </row>
    <row r="218" spans="1:16">
      <c r="A218" s="3">
        <v>818</v>
      </c>
      <c r="B218" s="3">
        <v>1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1</v>
      </c>
      <c r="P218" s="3">
        <v>1</v>
      </c>
    </row>
    <row r="219" spans="1:16">
      <c r="A219" s="3">
        <v>1000</v>
      </c>
      <c r="B219" s="3">
        <v>3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3</v>
      </c>
      <c r="P219" s="3">
        <v>1</v>
      </c>
    </row>
    <row r="220" spans="1:16">
      <c r="A220" s="3">
        <v>1100</v>
      </c>
      <c r="B220" s="3">
        <v>2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2</v>
      </c>
      <c r="P220" s="3">
        <v>1</v>
      </c>
    </row>
    <row r="221" spans="1:16">
      <c r="A221" s="3">
        <v>1610</v>
      </c>
      <c r="B221" s="3">
        <v>1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1</v>
      </c>
      <c r="P221" s="3">
        <v>1</v>
      </c>
    </row>
    <row r="222" spans="1:16">
      <c r="A222" s="3">
        <v>2000</v>
      </c>
      <c r="B222" s="3">
        <v>1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1</v>
      </c>
      <c r="P222" s="3">
        <v>1</v>
      </c>
    </row>
  </sheetData>
  <conditionalFormatting sqref="A712:A1717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9"/>
  <sheetViews>
    <sheetView topLeftCell="A105" workbookViewId="0">
      <selection activeCell="B2" sqref="B2:O149"/>
    </sheetView>
  </sheetViews>
  <sheetFormatPr defaultColWidth="9" defaultRowHeight="13.8"/>
  <cols>
    <col min="2" max="15" width="9.66666666666667" style="3"/>
    <col min="16" max="16" width="9.66666666666667" style="1"/>
  </cols>
  <sheetData>
    <row r="1" spans="1:16">
      <c r="A1" t="s">
        <v>34</v>
      </c>
      <c r="B1" s="2">
        <v>96</v>
      </c>
      <c r="C1" s="2">
        <v>92</v>
      </c>
      <c r="D1" s="2">
        <v>88</v>
      </c>
      <c r="E1" s="2">
        <v>84</v>
      </c>
      <c r="F1" s="2">
        <v>80</v>
      </c>
      <c r="G1" s="1">
        <v>70</v>
      </c>
      <c r="H1" s="1">
        <v>60</v>
      </c>
      <c r="I1" s="1">
        <v>50</v>
      </c>
      <c r="J1" s="1">
        <v>40</v>
      </c>
      <c r="K1" s="1">
        <v>30</v>
      </c>
      <c r="L1" s="1">
        <v>20</v>
      </c>
      <c r="M1" s="1">
        <v>10</v>
      </c>
      <c r="N1" s="1">
        <v>1</v>
      </c>
      <c r="O1" s="1">
        <v>100</v>
      </c>
      <c r="P1">
        <v>-1</v>
      </c>
    </row>
    <row r="2" spans="1:16">
      <c r="A2" s="3">
        <v>0</v>
      </c>
      <c r="B2" s="3">
        <v>41657696</v>
      </c>
      <c r="C2" s="3">
        <v>42147692</v>
      </c>
      <c r="D2" s="3">
        <v>42147688</v>
      </c>
      <c r="E2" s="3">
        <v>42147684</v>
      </c>
      <c r="F2" s="3">
        <v>42147680</v>
      </c>
      <c r="G2" s="3">
        <v>42147670</v>
      </c>
      <c r="H2" s="3">
        <v>42147660</v>
      </c>
      <c r="I2" s="3">
        <v>42147650</v>
      </c>
      <c r="J2" s="3">
        <v>42147640</v>
      </c>
      <c r="K2" s="3">
        <v>42147630</v>
      </c>
      <c r="L2" s="3">
        <v>42147620</v>
      </c>
      <c r="M2" s="3">
        <v>42147610</v>
      </c>
      <c r="N2" s="3">
        <v>42147601</v>
      </c>
      <c r="O2" s="3">
        <v>39631100</v>
      </c>
      <c r="P2" s="1">
        <v>0</v>
      </c>
    </row>
    <row r="3" spans="1:16">
      <c r="A3" s="3">
        <v>0.3</v>
      </c>
      <c r="B3" s="3">
        <v>3686159</v>
      </c>
      <c r="C3" s="3">
        <v>3686159</v>
      </c>
      <c r="D3" s="3">
        <v>3686159</v>
      </c>
      <c r="E3" s="3">
        <v>3686159</v>
      </c>
      <c r="F3" s="3">
        <v>3686159</v>
      </c>
      <c r="G3" s="3">
        <v>3686159</v>
      </c>
      <c r="H3" s="3">
        <v>3686159</v>
      </c>
      <c r="I3" s="3">
        <v>3686159</v>
      </c>
      <c r="J3" s="3">
        <v>3686159</v>
      </c>
      <c r="K3" s="3">
        <v>3686159</v>
      </c>
      <c r="L3" s="3">
        <v>3686159</v>
      </c>
      <c r="M3" s="3">
        <v>3686159</v>
      </c>
      <c r="N3" s="3">
        <v>1086159</v>
      </c>
      <c r="O3" s="3">
        <v>3686159</v>
      </c>
      <c r="P3" s="1">
        <v>1</v>
      </c>
    </row>
    <row r="4" spans="1:16">
      <c r="A4" s="3">
        <v>0.5</v>
      </c>
      <c r="B4" s="3">
        <v>3686159</v>
      </c>
      <c r="C4" s="3">
        <v>3686159</v>
      </c>
      <c r="D4" s="3">
        <v>3686159</v>
      </c>
      <c r="E4" s="3">
        <v>3686159</v>
      </c>
      <c r="F4" s="3">
        <v>3686159</v>
      </c>
      <c r="G4" s="3">
        <v>3686159</v>
      </c>
      <c r="H4" s="3">
        <v>3686159</v>
      </c>
      <c r="I4" s="3">
        <v>3686159</v>
      </c>
      <c r="J4" s="3">
        <v>3686159</v>
      </c>
      <c r="K4" s="3">
        <v>3686159</v>
      </c>
      <c r="L4" s="3">
        <v>3686159</v>
      </c>
      <c r="M4" s="3">
        <v>3686159</v>
      </c>
      <c r="N4" s="3">
        <v>0</v>
      </c>
      <c r="O4" s="3">
        <v>3686159</v>
      </c>
      <c r="P4" s="1">
        <v>1</v>
      </c>
    </row>
    <row r="5" spans="1:16">
      <c r="A5" s="3">
        <v>0.6</v>
      </c>
      <c r="B5" s="3">
        <v>1715210</v>
      </c>
      <c r="C5" s="3">
        <v>1715210</v>
      </c>
      <c r="D5" s="3">
        <v>1715210</v>
      </c>
      <c r="E5" s="3">
        <v>1715210</v>
      </c>
      <c r="F5" s="3">
        <v>1715210</v>
      </c>
      <c r="G5" s="3">
        <v>1715210</v>
      </c>
      <c r="H5" s="3">
        <v>1715210</v>
      </c>
      <c r="I5" s="3">
        <v>1715210</v>
      </c>
      <c r="J5" s="3">
        <v>1715210</v>
      </c>
      <c r="K5" s="3">
        <v>1715210</v>
      </c>
      <c r="L5" s="3">
        <v>1715210</v>
      </c>
      <c r="M5" s="3">
        <v>1315210</v>
      </c>
      <c r="N5" s="3">
        <v>0</v>
      </c>
      <c r="O5" s="3">
        <v>1715210</v>
      </c>
      <c r="P5" s="1">
        <v>1</v>
      </c>
    </row>
    <row r="6" spans="1:16">
      <c r="A6" s="3">
        <v>0.8</v>
      </c>
      <c r="B6" s="3">
        <v>1715210</v>
      </c>
      <c r="C6" s="3">
        <v>1715210</v>
      </c>
      <c r="D6" s="3">
        <v>1715210</v>
      </c>
      <c r="E6" s="3">
        <v>1715210</v>
      </c>
      <c r="F6" s="3">
        <v>1715210</v>
      </c>
      <c r="G6" s="3">
        <v>1715210</v>
      </c>
      <c r="H6" s="3">
        <v>1715210</v>
      </c>
      <c r="I6" s="3">
        <v>1715210</v>
      </c>
      <c r="J6" s="3">
        <v>1715210</v>
      </c>
      <c r="K6" s="3">
        <v>1715210</v>
      </c>
      <c r="L6" s="3">
        <v>1715210</v>
      </c>
      <c r="M6" s="3">
        <v>0</v>
      </c>
      <c r="N6" s="3">
        <v>0</v>
      </c>
      <c r="O6" s="3">
        <v>1715210</v>
      </c>
      <c r="P6" s="1">
        <v>1</v>
      </c>
    </row>
    <row r="7" spans="1:16">
      <c r="A7" s="3">
        <v>0.9</v>
      </c>
      <c r="B7" s="3">
        <v>257281</v>
      </c>
      <c r="C7" s="3">
        <v>257281</v>
      </c>
      <c r="D7" s="3">
        <v>257281</v>
      </c>
      <c r="E7" s="3">
        <v>257281</v>
      </c>
      <c r="F7" s="3">
        <v>257281</v>
      </c>
      <c r="G7" s="3">
        <v>257281</v>
      </c>
      <c r="H7" s="3">
        <v>257281</v>
      </c>
      <c r="I7" s="3">
        <v>257281</v>
      </c>
      <c r="J7" s="3">
        <v>257281</v>
      </c>
      <c r="K7" s="3">
        <v>257281</v>
      </c>
      <c r="L7" s="3">
        <v>257281</v>
      </c>
      <c r="M7" s="3">
        <v>0</v>
      </c>
      <c r="N7" s="3">
        <v>0</v>
      </c>
      <c r="O7" s="3">
        <v>257281</v>
      </c>
      <c r="P7" s="1">
        <v>1</v>
      </c>
    </row>
    <row r="8" spans="1:16">
      <c r="A8" s="3">
        <v>1</v>
      </c>
      <c r="B8" s="3">
        <v>1715210</v>
      </c>
      <c r="C8" s="3">
        <v>1715210</v>
      </c>
      <c r="D8" s="3">
        <v>1715210</v>
      </c>
      <c r="E8" s="3">
        <v>1715210</v>
      </c>
      <c r="F8" s="3">
        <v>1715210</v>
      </c>
      <c r="G8" s="3">
        <v>1715210</v>
      </c>
      <c r="H8" s="3">
        <v>1715210</v>
      </c>
      <c r="I8" s="3">
        <v>1715210</v>
      </c>
      <c r="J8" s="3">
        <v>1715210</v>
      </c>
      <c r="K8" s="3">
        <v>1715210</v>
      </c>
      <c r="L8" s="3">
        <v>1715210</v>
      </c>
      <c r="M8" s="3">
        <v>0</v>
      </c>
      <c r="N8" s="3">
        <v>0</v>
      </c>
      <c r="O8" s="3">
        <v>1715210</v>
      </c>
      <c r="P8" s="1">
        <v>1</v>
      </c>
    </row>
    <row r="9" spans="1:16">
      <c r="A9" s="3">
        <v>1.1</v>
      </c>
      <c r="B9" s="3">
        <v>74107</v>
      </c>
      <c r="C9" s="3">
        <v>74107</v>
      </c>
      <c r="D9" s="3">
        <v>74107</v>
      </c>
      <c r="E9" s="3">
        <v>74107</v>
      </c>
      <c r="F9" s="3">
        <v>74107</v>
      </c>
      <c r="G9" s="3">
        <v>74107</v>
      </c>
      <c r="H9" s="3">
        <v>74107</v>
      </c>
      <c r="I9" s="3">
        <v>74107</v>
      </c>
      <c r="J9" s="3">
        <v>74107</v>
      </c>
      <c r="K9" s="3">
        <v>74107</v>
      </c>
      <c r="L9" s="3">
        <v>74107</v>
      </c>
      <c r="M9" s="3">
        <v>0</v>
      </c>
      <c r="N9" s="3">
        <v>0</v>
      </c>
      <c r="O9" s="3">
        <v>74107</v>
      </c>
      <c r="P9" s="1">
        <v>1</v>
      </c>
    </row>
    <row r="10" spans="1:16">
      <c r="A10" s="3">
        <v>1.2</v>
      </c>
      <c r="B10" s="3">
        <v>222321</v>
      </c>
      <c r="C10" s="3">
        <v>222321</v>
      </c>
      <c r="D10" s="3">
        <v>222321</v>
      </c>
      <c r="E10" s="3">
        <v>222321</v>
      </c>
      <c r="F10" s="3">
        <v>222321</v>
      </c>
      <c r="G10" s="3">
        <v>222321</v>
      </c>
      <c r="H10" s="3">
        <v>222321</v>
      </c>
      <c r="I10" s="3">
        <v>222321</v>
      </c>
      <c r="J10" s="3">
        <v>222321</v>
      </c>
      <c r="K10" s="3">
        <v>222321</v>
      </c>
      <c r="L10" s="3">
        <v>222321</v>
      </c>
      <c r="M10" s="3">
        <v>0</v>
      </c>
      <c r="N10" s="3">
        <v>0</v>
      </c>
      <c r="O10" s="3">
        <v>222321</v>
      </c>
      <c r="P10" s="1">
        <v>1</v>
      </c>
    </row>
    <row r="11" spans="1:16">
      <c r="A11" s="3">
        <v>1.3</v>
      </c>
      <c r="B11" s="3">
        <v>163035</v>
      </c>
      <c r="C11" s="3">
        <v>163035</v>
      </c>
      <c r="D11" s="3">
        <v>163035</v>
      </c>
      <c r="E11" s="3">
        <v>163035</v>
      </c>
      <c r="F11" s="3">
        <v>163035</v>
      </c>
      <c r="G11" s="3">
        <v>163035</v>
      </c>
      <c r="H11" s="3">
        <v>163035</v>
      </c>
      <c r="I11" s="3">
        <v>163035</v>
      </c>
      <c r="J11" s="3">
        <v>163035</v>
      </c>
      <c r="K11" s="3">
        <v>163035</v>
      </c>
      <c r="L11" s="3">
        <v>163035</v>
      </c>
      <c r="M11" s="3">
        <v>0</v>
      </c>
      <c r="N11" s="3">
        <v>0</v>
      </c>
      <c r="O11" s="3">
        <v>163035</v>
      </c>
      <c r="P11" s="1">
        <v>1</v>
      </c>
    </row>
    <row r="12" spans="1:16">
      <c r="A12" s="3">
        <v>1.4</v>
      </c>
      <c r="B12" s="3">
        <v>29642</v>
      </c>
      <c r="C12" s="3">
        <v>29642</v>
      </c>
      <c r="D12" s="3">
        <v>29642</v>
      </c>
      <c r="E12" s="3">
        <v>29642</v>
      </c>
      <c r="F12" s="3">
        <v>29642</v>
      </c>
      <c r="G12" s="3">
        <v>29642</v>
      </c>
      <c r="H12" s="3">
        <v>29642</v>
      </c>
      <c r="I12" s="3">
        <v>29642</v>
      </c>
      <c r="J12" s="3">
        <v>29642</v>
      </c>
      <c r="K12" s="3">
        <v>29642</v>
      </c>
      <c r="L12" s="3">
        <v>29642</v>
      </c>
      <c r="M12" s="3">
        <v>0</v>
      </c>
      <c r="N12" s="3">
        <v>0</v>
      </c>
      <c r="O12" s="3">
        <v>29642</v>
      </c>
      <c r="P12" s="1">
        <v>1</v>
      </c>
    </row>
    <row r="13" spans="1:16">
      <c r="A13" s="3">
        <v>1.5</v>
      </c>
      <c r="B13" s="3">
        <v>696606</v>
      </c>
      <c r="C13" s="3">
        <v>696606</v>
      </c>
      <c r="D13" s="3">
        <v>696606</v>
      </c>
      <c r="E13" s="3">
        <v>696606</v>
      </c>
      <c r="F13" s="3">
        <v>696606</v>
      </c>
      <c r="G13" s="3">
        <v>696606</v>
      </c>
      <c r="H13" s="3">
        <v>696606</v>
      </c>
      <c r="I13" s="3">
        <v>696606</v>
      </c>
      <c r="J13" s="3">
        <v>696606</v>
      </c>
      <c r="K13" s="3">
        <v>696606</v>
      </c>
      <c r="L13" s="3">
        <v>120000</v>
      </c>
      <c r="M13" s="3">
        <v>0</v>
      </c>
      <c r="N13" s="3">
        <v>0</v>
      </c>
      <c r="O13" s="3">
        <v>696606</v>
      </c>
      <c r="P13" s="1">
        <v>1</v>
      </c>
    </row>
    <row r="14" spans="1:16">
      <c r="A14" s="3">
        <v>1.6</v>
      </c>
      <c r="B14" s="3">
        <v>148214</v>
      </c>
      <c r="C14" s="3">
        <v>148214</v>
      </c>
      <c r="D14" s="3">
        <v>148214</v>
      </c>
      <c r="E14" s="3">
        <v>148214</v>
      </c>
      <c r="F14" s="3">
        <v>148214</v>
      </c>
      <c r="G14" s="3">
        <v>148214</v>
      </c>
      <c r="H14" s="3">
        <v>148214</v>
      </c>
      <c r="I14" s="3">
        <v>148214</v>
      </c>
      <c r="J14" s="3">
        <v>148214</v>
      </c>
      <c r="K14" s="3">
        <v>148214</v>
      </c>
      <c r="L14" s="3">
        <v>0</v>
      </c>
      <c r="M14" s="3">
        <v>0</v>
      </c>
      <c r="N14" s="3">
        <v>0</v>
      </c>
      <c r="O14" s="3">
        <v>148214</v>
      </c>
      <c r="P14" s="1">
        <v>1</v>
      </c>
    </row>
    <row r="15" spans="1:16">
      <c r="A15" s="3">
        <v>1.8</v>
      </c>
      <c r="B15" s="3">
        <v>74107</v>
      </c>
      <c r="C15" s="3">
        <v>74107</v>
      </c>
      <c r="D15" s="3">
        <v>74107</v>
      </c>
      <c r="E15" s="3">
        <v>74107</v>
      </c>
      <c r="F15" s="3">
        <v>74107</v>
      </c>
      <c r="G15" s="3">
        <v>74107</v>
      </c>
      <c r="H15" s="3">
        <v>74107</v>
      </c>
      <c r="I15" s="3">
        <v>74107</v>
      </c>
      <c r="J15" s="3">
        <v>74107</v>
      </c>
      <c r="K15" s="3">
        <v>74107</v>
      </c>
      <c r="L15" s="3">
        <v>0</v>
      </c>
      <c r="M15" s="3">
        <v>0</v>
      </c>
      <c r="N15" s="3">
        <v>0</v>
      </c>
      <c r="O15" s="3">
        <v>74107</v>
      </c>
      <c r="P15" s="1">
        <v>1</v>
      </c>
    </row>
    <row r="16" spans="1:16">
      <c r="A16" s="3">
        <v>1.9</v>
      </c>
      <c r="B16" s="3">
        <v>59285</v>
      </c>
      <c r="C16" s="3">
        <v>59285</v>
      </c>
      <c r="D16" s="3">
        <v>59285</v>
      </c>
      <c r="E16" s="3">
        <v>59285</v>
      </c>
      <c r="F16" s="3">
        <v>59285</v>
      </c>
      <c r="G16" s="3">
        <v>59285</v>
      </c>
      <c r="H16" s="3">
        <v>59285</v>
      </c>
      <c r="I16" s="3">
        <v>59285</v>
      </c>
      <c r="J16" s="3">
        <v>59285</v>
      </c>
      <c r="K16" s="3">
        <v>59285</v>
      </c>
      <c r="L16" s="3">
        <v>0</v>
      </c>
      <c r="M16" s="3">
        <v>0</v>
      </c>
      <c r="N16" s="3">
        <v>0</v>
      </c>
      <c r="O16" s="3">
        <v>59285</v>
      </c>
      <c r="P16" s="1">
        <v>1</v>
      </c>
    </row>
    <row r="17" spans="1:16">
      <c r="A17" s="3">
        <v>2</v>
      </c>
      <c r="B17" s="3">
        <v>1496963</v>
      </c>
      <c r="C17" s="3">
        <v>1496963</v>
      </c>
      <c r="D17" s="3">
        <v>1496963</v>
      </c>
      <c r="E17" s="3">
        <v>1496963</v>
      </c>
      <c r="F17" s="3">
        <v>1496963</v>
      </c>
      <c r="G17" s="3">
        <v>1496963</v>
      </c>
      <c r="H17" s="3">
        <v>1496963</v>
      </c>
      <c r="I17" s="3">
        <v>1496963</v>
      </c>
      <c r="J17" s="3">
        <v>1496963</v>
      </c>
      <c r="K17" s="3">
        <v>1496963</v>
      </c>
      <c r="L17" s="3">
        <v>0</v>
      </c>
      <c r="M17" s="3">
        <v>0</v>
      </c>
      <c r="N17" s="3">
        <v>0</v>
      </c>
      <c r="O17" s="3">
        <v>1496963</v>
      </c>
      <c r="P17" s="1">
        <v>1</v>
      </c>
    </row>
    <row r="18" spans="1:16">
      <c r="A18" s="3">
        <v>2.1</v>
      </c>
      <c r="B18" s="3">
        <v>184056</v>
      </c>
      <c r="C18" s="3">
        <v>184056</v>
      </c>
      <c r="D18" s="3">
        <v>184056</v>
      </c>
      <c r="E18" s="3">
        <v>184056</v>
      </c>
      <c r="F18" s="3">
        <v>184056</v>
      </c>
      <c r="G18" s="3">
        <v>184056</v>
      </c>
      <c r="H18" s="3">
        <v>184056</v>
      </c>
      <c r="I18" s="3">
        <v>184056</v>
      </c>
      <c r="J18" s="3">
        <v>184056</v>
      </c>
      <c r="K18" s="3">
        <v>100000</v>
      </c>
      <c r="L18" s="3">
        <v>0</v>
      </c>
      <c r="M18" s="3">
        <v>0</v>
      </c>
      <c r="N18" s="3">
        <v>0</v>
      </c>
      <c r="O18" s="3">
        <v>184056</v>
      </c>
      <c r="P18" s="1">
        <v>1</v>
      </c>
    </row>
    <row r="19" spans="1:16">
      <c r="A19" s="3">
        <v>2.2</v>
      </c>
      <c r="B19" s="3">
        <v>19374</v>
      </c>
      <c r="C19" s="3">
        <v>19374</v>
      </c>
      <c r="D19" s="3">
        <v>19374</v>
      </c>
      <c r="E19" s="3">
        <v>19374</v>
      </c>
      <c r="F19" s="3">
        <v>19374</v>
      </c>
      <c r="G19" s="3">
        <v>19374</v>
      </c>
      <c r="H19" s="3">
        <v>19374</v>
      </c>
      <c r="I19" s="3">
        <v>19374</v>
      </c>
      <c r="J19" s="3">
        <v>19374</v>
      </c>
      <c r="K19" s="3">
        <v>0</v>
      </c>
      <c r="L19" s="3">
        <v>0</v>
      </c>
      <c r="M19" s="3">
        <v>0</v>
      </c>
      <c r="N19" s="3">
        <v>0</v>
      </c>
      <c r="O19" s="3">
        <v>19374</v>
      </c>
      <c r="P19" s="1">
        <v>1</v>
      </c>
    </row>
    <row r="20" spans="1:16">
      <c r="A20" s="3">
        <v>2.3</v>
      </c>
      <c r="B20" s="3">
        <v>213117</v>
      </c>
      <c r="C20" s="3">
        <v>213117</v>
      </c>
      <c r="D20" s="3">
        <v>213117</v>
      </c>
      <c r="E20" s="3">
        <v>213117</v>
      </c>
      <c r="F20" s="3">
        <v>213117</v>
      </c>
      <c r="G20" s="3">
        <v>213117</v>
      </c>
      <c r="H20" s="3">
        <v>213117</v>
      </c>
      <c r="I20" s="3">
        <v>213117</v>
      </c>
      <c r="J20" s="3">
        <v>213117</v>
      </c>
      <c r="K20" s="3">
        <v>0</v>
      </c>
      <c r="L20" s="3">
        <v>0</v>
      </c>
      <c r="M20" s="3">
        <v>0</v>
      </c>
      <c r="N20" s="3">
        <v>0</v>
      </c>
      <c r="O20" s="3">
        <v>213117</v>
      </c>
      <c r="P20" s="1">
        <v>1</v>
      </c>
    </row>
    <row r="21" spans="1:16">
      <c r="A21" s="3">
        <v>2.4</v>
      </c>
      <c r="B21" s="3">
        <v>9687</v>
      </c>
      <c r="C21" s="3">
        <v>9687</v>
      </c>
      <c r="D21" s="3">
        <v>9687</v>
      </c>
      <c r="E21" s="3">
        <v>9687</v>
      </c>
      <c r="F21" s="3">
        <v>9687</v>
      </c>
      <c r="G21" s="3">
        <v>9687</v>
      </c>
      <c r="H21" s="3">
        <v>9687</v>
      </c>
      <c r="I21" s="3">
        <v>9687</v>
      </c>
      <c r="J21" s="3">
        <v>9687</v>
      </c>
      <c r="K21" s="3">
        <v>0</v>
      </c>
      <c r="L21" s="3">
        <v>0</v>
      </c>
      <c r="M21" s="3">
        <v>0</v>
      </c>
      <c r="N21" s="3">
        <v>0</v>
      </c>
      <c r="O21" s="3">
        <v>9687</v>
      </c>
      <c r="P21" s="1">
        <v>1</v>
      </c>
    </row>
    <row r="22" spans="1:16">
      <c r="A22" s="3">
        <v>2.5</v>
      </c>
      <c r="B22" s="3">
        <v>397173</v>
      </c>
      <c r="C22" s="3">
        <v>397173</v>
      </c>
      <c r="D22" s="3">
        <v>397173</v>
      </c>
      <c r="E22" s="3">
        <v>397173</v>
      </c>
      <c r="F22" s="3">
        <v>397173</v>
      </c>
      <c r="G22" s="3">
        <v>397173</v>
      </c>
      <c r="H22" s="3">
        <v>397173</v>
      </c>
      <c r="I22" s="3">
        <v>397173</v>
      </c>
      <c r="J22" s="3">
        <v>397173</v>
      </c>
      <c r="K22" s="3">
        <v>0</v>
      </c>
      <c r="L22" s="3">
        <v>0</v>
      </c>
      <c r="M22" s="3">
        <v>0</v>
      </c>
      <c r="N22" s="3">
        <v>0</v>
      </c>
      <c r="O22" s="3">
        <v>397173</v>
      </c>
      <c r="P22" s="1">
        <v>1</v>
      </c>
    </row>
    <row r="23" spans="1:16">
      <c r="A23" s="3">
        <v>2.6</v>
      </c>
      <c r="B23" s="3">
        <v>184056</v>
      </c>
      <c r="C23" s="3">
        <v>184056</v>
      </c>
      <c r="D23" s="3">
        <v>184056</v>
      </c>
      <c r="E23" s="3">
        <v>184056</v>
      </c>
      <c r="F23" s="3">
        <v>184056</v>
      </c>
      <c r="G23" s="3">
        <v>184056</v>
      </c>
      <c r="H23" s="3">
        <v>184056</v>
      </c>
      <c r="I23" s="3">
        <v>184056</v>
      </c>
      <c r="J23" s="3">
        <v>184056</v>
      </c>
      <c r="K23" s="3">
        <v>0</v>
      </c>
      <c r="L23" s="3">
        <v>0</v>
      </c>
      <c r="M23" s="3">
        <v>0</v>
      </c>
      <c r="N23" s="3">
        <v>0</v>
      </c>
      <c r="O23" s="3">
        <v>184056</v>
      </c>
      <c r="P23" s="1">
        <v>1</v>
      </c>
    </row>
    <row r="24" spans="1:16">
      <c r="A24" s="3">
        <v>2.7</v>
      </c>
      <c r="B24" s="3">
        <v>38748</v>
      </c>
      <c r="C24" s="3">
        <v>38748</v>
      </c>
      <c r="D24" s="3">
        <v>38748</v>
      </c>
      <c r="E24" s="3">
        <v>38748</v>
      </c>
      <c r="F24" s="3">
        <v>38748</v>
      </c>
      <c r="G24" s="3">
        <v>38748</v>
      </c>
      <c r="H24" s="3">
        <v>38748</v>
      </c>
      <c r="I24" s="3">
        <v>38748</v>
      </c>
      <c r="J24" s="3">
        <v>38748</v>
      </c>
      <c r="K24" s="3">
        <v>0</v>
      </c>
      <c r="L24" s="3">
        <v>0</v>
      </c>
      <c r="M24" s="3">
        <v>0</v>
      </c>
      <c r="N24" s="3">
        <v>0</v>
      </c>
      <c r="O24" s="3">
        <v>38748</v>
      </c>
      <c r="P24" s="1">
        <v>1</v>
      </c>
    </row>
    <row r="25" spans="1:16">
      <c r="A25" s="3">
        <v>2.8</v>
      </c>
      <c r="B25" s="3">
        <v>19374</v>
      </c>
      <c r="C25" s="3">
        <v>19374</v>
      </c>
      <c r="D25" s="3">
        <v>19374</v>
      </c>
      <c r="E25" s="3">
        <v>19374</v>
      </c>
      <c r="F25" s="3">
        <v>19374</v>
      </c>
      <c r="G25" s="3">
        <v>19374</v>
      </c>
      <c r="H25" s="3">
        <v>19374</v>
      </c>
      <c r="I25" s="3">
        <v>19374</v>
      </c>
      <c r="J25" s="3">
        <v>19374</v>
      </c>
      <c r="K25" s="3">
        <v>0</v>
      </c>
      <c r="L25" s="3">
        <v>0</v>
      </c>
      <c r="M25" s="3">
        <v>0</v>
      </c>
      <c r="N25" s="3">
        <v>0</v>
      </c>
      <c r="O25" s="3">
        <v>19374</v>
      </c>
      <c r="P25" s="1">
        <v>1</v>
      </c>
    </row>
    <row r="26" spans="1:16">
      <c r="A26" s="3">
        <v>2.9</v>
      </c>
      <c r="B26" s="3">
        <v>48435</v>
      </c>
      <c r="C26" s="3">
        <v>48435</v>
      </c>
      <c r="D26" s="3">
        <v>48435</v>
      </c>
      <c r="E26" s="3">
        <v>48435</v>
      </c>
      <c r="F26" s="3">
        <v>48435</v>
      </c>
      <c r="G26" s="3">
        <v>48435</v>
      </c>
      <c r="H26" s="3">
        <v>48435</v>
      </c>
      <c r="I26" s="3">
        <v>48435</v>
      </c>
      <c r="J26" s="3">
        <v>48435</v>
      </c>
      <c r="K26" s="3">
        <v>0</v>
      </c>
      <c r="L26" s="3">
        <v>0</v>
      </c>
      <c r="M26" s="3">
        <v>0</v>
      </c>
      <c r="N26" s="3">
        <v>0</v>
      </c>
      <c r="O26" s="3">
        <v>48435</v>
      </c>
      <c r="P26" s="1">
        <v>1</v>
      </c>
    </row>
    <row r="27" spans="1:16">
      <c r="A27" s="3">
        <v>3</v>
      </c>
      <c r="B27" s="3">
        <v>823409</v>
      </c>
      <c r="C27" s="3">
        <v>823409</v>
      </c>
      <c r="D27" s="3">
        <v>823409</v>
      </c>
      <c r="E27" s="3">
        <v>823409</v>
      </c>
      <c r="F27" s="3">
        <v>823409</v>
      </c>
      <c r="G27" s="3">
        <v>823409</v>
      </c>
      <c r="H27" s="3">
        <v>823409</v>
      </c>
      <c r="I27" s="3">
        <v>823409</v>
      </c>
      <c r="J27" s="3">
        <v>736409</v>
      </c>
      <c r="K27" s="3">
        <v>0</v>
      </c>
      <c r="L27" s="3">
        <v>0</v>
      </c>
      <c r="M27" s="3">
        <v>0</v>
      </c>
      <c r="N27" s="3">
        <v>0</v>
      </c>
      <c r="O27" s="3">
        <v>823409</v>
      </c>
      <c r="P27" s="1">
        <v>1</v>
      </c>
    </row>
    <row r="28" spans="1:16">
      <c r="A28" s="3">
        <v>3.1</v>
      </c>
      <c r="B28" s="3">
        <v>3044</v>
      </c>
      <c r="C28" s="3">
        <v>3044</v>
      </c>
      <c r="D28" s="3">
        <v>3044</v>
      </c>
      <c r="E28" s="3">
        <v>3044</v>
      </c>
      <c r="F28" s="3">
        <v>3044</v>
      </c>
      <c r="G28" s="3">
        <v>3044</v>
      </c>
      <c r="H28" s="3">
        <v>3044</v>
      </c>
      <c r="I28" s="3">
        <v>3044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3044</v>
      </c>
      <c r="P28" s="1">
        <v>1</v>
      </c>
    </row>
    <row r="29" spans="1:16">
      <c r="A29" s="3">
        <v>3.2</v>
      </c>
      <c r="B29" s="3">
        <v>18266</v>
      </c>
      <c r="C29" s="3">
        <v>18266</v>
      </c>
      <c r="D29" s="3">
        <v>18266</v>
      </c>
      <c r="E29" s="3">
        <v>18266</v>
      </c>
      <c r="F29" s="3">
        <v>18266</v>
      </c>
      <c r="G29" s="3">
        <v>18266</v>
      </c>
      <c r="H29" s="3">
        <v>18266</v>
      </c>
      <c r="I29" s="3">
        <v>18266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18266</v>
      </c>
      <c r="P29" s="1">
        <v>1</v>
      </c>
    </row>
    <row r="30" spans="1:16">
      <c r="A30" s="3">
        <v>3.3</v>
      </c>
      <c r="B30" s="3">
        <v>24355</v>
      </c>
      <c r="C30" s="3">
        <v>24355</v>
      </c>
      <c r="D30" s="3">
        <v>24355</v>
      </c>
      <c r="E30" s="3">
        <v>24355</v>
      </c>
      <c r="F30" s="3">
        <v>24355</v>
      </c>
      <c r="G30" s="3">
        <v>24355</v>
      </c>
      <c r="H30" s="3">
        <v>24355</v>
      </c>
      <c r="I30" s="3">
        <v>24355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24355</v>
      </c>
      <c r="P30" s="1">
        <v>1</v>
      </c>
    </row>
    <row r="31" spans="1:16">
      <c r="A31" s="3">
        <v>3.4</v>
      </c>
      <c r="B31" s="3">
        <v>3044</v>
      </c>
      <c r="C31" s="3">
        <v>3044</v>
      </c>
      <c r="D31" s="3">
        <v>3044</v>
      </c>
      <c r="E31" s="3">
        <v>3044</v>
      </c>
      <c r="F31" s="3">
        <v>3044</v>
      </c>
      <c r="G31" s="3">
        <v>3044</v>
      </c>
      <c r="H31" s="3">
        <v>3044</v>
      </c>
      <c r="I31" s="3">
        <v>3044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3044</v>
      </c>
      <c r="P31" s="1">
        <v>1</v>
      </c>
    </row>
    <row r="32" spans="1:16">
      <c r="A32" s="3">
        <v>3.5</v>
      </c>
      <c r="B32" s="3">
        <v>91332</v>
      </c>
      <c r="C32" s="3">
        <v>91332</v>
      </c>
      <c r="D32" s="3">
        <v>91332</v>
      </c>
      <c r="E32" s="3">
        <v>91332</v>
      </c>
      <c r="F32" s="3">
        <v>91332</v>
      </c>
      <c r="G32" s="3">
        <v>91332</v>
      </c>
      <c r="H32" s="3">
        <v>91332</v>
      </c>
      <c r="I32" s="3">
        <v>91332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91332</v>
      </c>
      <c r="P32" s="1">
        <v>1</v>
      </c>
    </row>
    <row r="33" spans="1:16">
      <c r="A33" s="3">
        <v>3.6</v>
      </c>
      <c r="B33" s="3">
        <v>3044</v>
      </c>
      <c r="C33" s="3">
        <v>3044</v>
      </c>
      <c r="D33" s="3">
        <v>3044</v>
      </c>
      <c r="E33" s="3">
        <v>3044</v>
      </c>
      <c r="F33" s="3">
        <v>3044</v>
      </c>
      <c r="G33" s="3">
        <v>3044</v>
      </c>
      <c r="H33" s="3">
        <v>3044</v>
      </c>
      <c r="I33" s="3">
        <v>3044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3044</v>
      </c>
      <c r="P33" s="1">
        <v>1</v>
      </c>
    </row>
    <row r="34" spans="1:16">
      <c r="A34" s="3">
        <v>3.8</v>
      </c>
      <c r="B34" s="3">
        <v>9133</v>
      </c>
      <c r="C34" s="3">
        <v>9133</v>
      </c>
      <c r="D34" s="3">
        <v>9133</v>
      </c>
      <c r="E34" s="3">
        <v>9133</v>
      </c>
      <c r="F34" s="3">
        <v>9133</v>
      </c>
      <c r="G34" s="3">
        <v>9133</v>
      </c>
      <c r="H34" s="3">
        <v>9133</v>
      </c>
      <c r="I34" s="3">
        <v>9133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9133</v>
      </c>
      <c r="P34" s="1">
        <v>1</v>
      </c>
    </row>
    <row r="35" spans="1:16">
      <c r="A35" s="3">
        <v>3.9</v>
      </c>
      <c r="B35" s="3">
        <v>9133</v>
      </c>
      <c r="C35" s="3">
        <v>9133</v>
      </c>
      <c r="D35" s="3">
        <v>9133</v>
      </c>
      <c r="E35" s="3">
        <v>9133</v>
      </c>
      <c r="F35" s="3">
        <v>9133</v>
      </c>
      <c r="G35" s="3">
        <v>9133</v>
      </c>
      <c r="H35" s="3">
        <v>9133</v>
      </c>
      <c r="I35" s="3">
        <v>9133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9133</v>
      </c>
      <c r="P35" s="1">
        <v>1</v>
      </c>
    </row>
    <row r="36" spans="1:16">
      <c r="A36" s="3">
        <v>4</v>
      </c>
      <c r="B36" s="3">
        <v>447528</v>
      </c>
      <c r="C36" s="3">
        <v>447528</v>
      </c>
      <c r="D36" s="3">
        <v>447528</v>
      </c>
      <c r="E36" s="3">
        <v>447528</v>
      </c>
      <c r="F36" s="3">
        <v>447528</v>
      </c>
      <c r="G36" s="3">
        <v>447528</v>
      </c>
      <c r="H36" s="3">
        <v>447528</v>
      </c>
      <c r="I36" s="3">
        <v>447528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447528</v>
      </c>
      <c r="P36" s="1">
        <v>1</v>
      </c>
    </row>
    <row r="37" spans="1:16">
      <c r="A37" s="3">
        <v>4.3</v>
      </c>
      <c r="B37" s="3">
        <v>49155</v>
      </c>
      <c r="C37" s="3">
        <v>49155</v>
      </c>
      <c r="D37" s="3">
        <v>49155</v>
      </c>
      <c r="E37" s="3">
        <v>49155</v>
      </c>
      <c r="F37" s="3">
        <v>49155</v>
      </c>
      <c r="G37" s="3">
        <v>49155</v>
      </c>
      <c r="H37" s="3">
        <v>49155</v>
      </c>
      <c r="I37" s="3">
        <v>49155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49155</v>
      </c>
      <c r="P37" s="1">
        <v>1</v>
      </c>
    </row>
    <row r="38" spans="1:16">
      <c r="A38" s="3">
        <v>4.5</v>
      </c>
      <c r="B38" s="3">
        <v>31806</v>
      </c>
      <c r="C38" s="3">
        <v>31806</v>
      </c>
      <c r="D38" s="3">
        <v>31806</v>
      </c>
      <c r="E38" s="3">
        <v>31806</v>
      </c>
      <c r="F38" s="3">
        <v>31806</v>
      </c>
      <c r="G38" s="3">
        <v>31806</v>
      </c>
      <c r="H38" s="3">
        <v>31806</v>
      </c>
      <c r="I38" s="3">
        <v>31806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31806</v>
      </c>
      <c r="P38" s="1">
        <v>1</v>
      </c>
    </row>
    <row r="39" spans="1:16">
      <c r="A39" s="3">
        <v>4.6</v>
      </c>
      <c r="B39" s="3">
        <v>11565</v>
      </c>
      <c r="C39" s="3">
        <v>11565</v>
      </c>
      <c r="D39" s="3">
        <v>11565</v>
      </c>
      <c r="E39" s="3">
        <v>11565</v>
      </c>
      <c r="F39" s="3">
        <v>11565</v>
      </c>
      <c r="G39" s="3">
        <v>11565</v>
      </c>
      <c r="H39" s="3">
        <v>11565</v>
      </c>
      <c r="I39" s="3">
        <v>11565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11565</v>
      </c>
      <c r="P39" s="1">
        <v>1</v>
      </c>
    </row>
    <row r="40" spans="1:16">
      <c r="A40" s="3">
        <v>4.9</v>
      </c>
      <c r="B40" s="3">
        <v>2891</v>
      </c>
      <c r="C40" s="3">
        <v>2891</v>
      </c>
      <c r="D40" s="3">
        <v>2891</v>
      </c>
      <c r="E40" s="3">
        <v>2891</v>
      </c>
      <c r="F40" s="3">
        <v>2891</v>
      </c>
      <c r="G40" s="3">
        <v>2891</v>
      </c>
      <c r="H40" s="3">
        <v>2891</v>
      </c>
      <c r="I40" s="3">
        <v>2891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2891</v>
      </c>
      <c r="P40" s="1">
        <v>1</v>
      </c>
    </row>
    <row r="41" spans="1:16">
      <c r="A41" s="3">
        <v>5</v>
      </c>
      <c r="B41" s="3">
        <v>482878</v>
      </c>
      <c r="C41" s="3">
        <v>482878</v>
      </c>
      <c r="D41" s="3">
        <v>482878</v>
      </c>
      <c r="E41" s="3">
        <v>482878</v>
      </c>
      <c r="F41" s="3">
        <v>482878</v>
      </c>
      <c r="G41" s="3">
        <v>482878</v>
      </c>
      <c r="H41" s="3">
        <v>482878</v>
      </c>
      <c r="I41" s="3">
        <v>352878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482878</v>
      </c>
      <c r="P41" s="1">
        <v>1</v>
      </c>
    </row>
    <row r="42" spans="1:16">
      <c r="A42" s="3">
        <v>5.2</v>
      </c>
      <c r="B42" s="3">
        <v>7712</v>
      </c>
      <c r="C42" s="3">
        <v>7712</v>
      </c>
      <c r="D42" s="3">
        <v>7712</v>
      </c>
      <c r="E42" s="3">
        <v>7712</v>
      </c>
      <c r="F42" s="3">
        <v>7712</v>
      </c>
      <c r="G42" s="3">
        <v>7712</v>
      </c>
      <c r="H42" s="3">
        <v>7712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7712</v>
      </c>
      <c r="P42" s="1">
        <v>1</v>
      </c>
    </row>
    <row r="43" spans="1:16">
      <c r="A43" s="3">
        <v>5.3</v>
      </c>
      <c r="B43" s="3">
        <v>53989</v>
      </c>
      <c r="C43" s="3">
        <v>53989</v>
      </c>
      <c r="D43" s="3">
        <v>53989</v>
      </c>
      <c r="E43" s="3">
        <v>53989</v>
      </c>
      <c r="F43" s="3">
        <v>53989</v>
      </c>
      <c r="G43" s="3">
        <v>53989</v>
      </c>
      <c r="H43" s="3">
        <v>53989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53989</v>
      </c>
      <c r="P43" s="1">
        <v>1</v>
      </c>
    </row>
    <row r="44" spans="1:16">
      <c r="A44" s="3">
        <v>5.5</v>
      </c>
      <c r="B44" s="3">
        <v>87411</v>
      </c>
      <c r="C44" s="3">
        <v>87411</v>
      </c>
      <c r="D44" s="3">
        <v>87411</v>
      </c>
      <c r="E44" s="3">
        <v>87411</v>
      </c>
      <c r="F44" s="3">
        <v>87411</v>
      </c>
      <c r="G44" s="3">
        <v>87411</v>
      </c>
      <c r="H44" s="3">
        <v>87411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87411</v>
      </c>
      <c r="P44" s="1">
        <v>1</v>
      </c>
    </row>
    <row r="45" spans="1:16">
      <c r="A45" s="3">
        <v>5.6</v>
      </c>
      <c r="B45" s="3">
        <v>23138</v>
      </c>
      <c r="C45" s="3">
        <v>23138</v>
      </c>
      <c r="D45" s="3">
        <v>23138</v>
      </c>
      <c r="E45" s="3">
        <v>23138</v>
      </c>
      <c r="F45" s="3">
        <v>23138</v>
      </c>
      <c r="G45" s="3">
        <v>23138</v>
      </c>
      <c r="H45" s="3">
        <v>23138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23138</v>
      </c>
      <c r="P45" s="1">
        <v>1</v>
      </c>
    </row>
    <row r="46" spans="1:16">
      <c r="A46" s="3">
        <v>5.8</v>
      </c>
      <c r="B46" s="3">
        <v>5141</v>
      </c>
      <c r="C46" s="3">
        <v>5141</v>
      </c>
      <c r="D46" s="3">
        <v>5141</v>
      </c>
      <c r="E46" s="3">
        <v>5141</v>
      </c>
      <c r="F46" s="3">
        <v>5141</v>
      </c>
      <c r="G46" s="3">
        <v>5141</v>
      </c>
      <c r="H46" s="3">
        <v>5141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5141</v>
      </c>
      <c r="P46" s="1">
        <v>1</v>
      </c>
    </row>
    <row r="47" spans="1:16">
      <c r="A47" s="3">
        <v>5.9</v>
      </c>
      <c r="B47" s="3">
        <v>23138</v>
      </c>
      <c r="C47" s="3">
        <v>23138</v>
      </c>
      <c r="D47" s="3">
        <v>23138</v>
      </c>
      <c r="E47" s="3">
        <v>23138</v>
      </c>
      <c r="F47" s="3">
        <v>23138</v>
      </c>
      <c r="G47" s="3">
        <v>23138</v>
      </c>
      <c r="H47" s="3">
        <v>23138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23138</v>
      </c>
      <c r="P47" s="1">
        <v>1</v>
      </c>
    </row>
    <row r="48" spans="1:16">
      <c r="A48" s="3">
        <v>6</v>
      </c>
      <c r="B48" s="3">
        <v>313654</v>
      </c>
      <c r="C48" s="3">
        <v>313654</v>
      </c>
      <c r="D48" s="3">
        <v>313654</v>
      </c>
      <c r="E48" s="3">
        <v>313654</v>
      </c>
      <c r="F48" s="3">
        <v>313654</v>
      </c>
      <c r="G48" s="3">
        <v>313654</v>
      </c>
      <c r="H48" s="3">
        <v>313654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313654</v>
      </c>
      <c r="P48" s="1">
        <v>1</v>
      </c>
    </row>
    <row r="49" spans="1:16">
      <c r="A49" s="3">
        <v>6.2</v>
      </c>
      <c r="B49" s="3">
        <v>5845</v>
      </c>
      <c r="C49" s="3">
        <v>5845</v>
      </c>
      <c r="D49" s="3">
        <v>5845</v>
      </c>
      <c r="E49" s="3">
        <v>5845</v>
      </c>
      <c r="F49" s="3">
        <v>5845</v>
      </c>
      <c r="G49" s="3">
        <v>5845</v>
      </c>
      <c r="H49" s="3">
        <v>5845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5845</v>
      </c>
      <c r="P49" s="1">
        <v>1</v>
      </c>
    </row>
    <row r="50" spans="1:16">
      <c r="A50" s="3">
        <v>6.3</v>
      </c>
      <c r="B50" s="3">
        <v>14612</v>
      </c>
      <c r="C50" s="3">
        <v>14612</v>
      </c>
      <c r="D50" s="3">
        <v>14612</v>
      </c>
      <c r="E50" s="3">
        <v>14612</v>
      </c>
      <c r="F50" s="3">
        <v>14612</v>
      </c>
      <c r="G50" s="3">
        <v>14612</v>
      </c>
      <c r="H50" s="3">
        <v>14612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14612</v>
      </c>
      <c r="P50" s="1">
        <v>1</v>
      </c>
    </row>
    <row r="51" spans="1:16">
      <c r="A51" s="3">
        <v>6.5</v>
      </c>
      <c r="B51" s="3">
        <v>45299</v>
      </c>
      <c r="C51" s="3">
        <v>45299</v>
      </c>
      <c r="D51" s="3">
        <v>45299</v>
      </c>
      <c r="E51" s="3">
        <v>45299</v>
      </c>
      <c r="F51" s="3">
        <v>45299</v>
      </c>
      <c r="G51" s="3">
        <v>45299</v>
      </c>
      <c r="H51" s="3">
        <v>45299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45299</v>
      </c>
      <c r="P51" s="1">
        <v>1</v>
      </c>
    </row>
    <row r="52" spans="1:16">
      <c r="A52" s="3">
        <v>6.6</v>
      </c>
      <c r="B52" s="3">
        <v>8767</v>
      </c>
      <c r="C52" s="3">
        <v>8767</v>
      </c>
      <c r="D52" s="3">
        <v>8767</v>
      </c>
      <c r="E52" s="3">
        <v>8767</v>
      </c>
      <c r="F52" s="3">
        <v>8767</v>
      </c>
      <c r="G52" s="3">
        <v>8767</v>
      </c>
      <c r="H52" s="3">
        <v>8767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8767</v>
      </c>
      <c r="P52" s="1">
        <v>1</v>
      </c>
    </row>
    <row r="53" spans="1:16">
      <c r="A53" s="3">
        <v>7</v>
      </c>
      <c r="B53" s="3">
        <v>217732</v>
      </c>
      <c r="C53" s="3">
        <v>217732</v>
      </c>
      <c r="D53" s="3">
        <v>217732</v>
      </c>
      <c r="E53" s="3">
        <v>217732</v>
      </c>
      <c r="F53" s="3">
        <v>217732</v>
      </c>
      <c r="G53" s="3">
        <v>217732</v>
      </c>
      <c r="H53" s="3">
        <v>90000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217732</v>
      </c>
      <c r="P53" s="1">
        <v>1</v>
      </c>
    </row>
    <row r="54" spans="1:16">
      <c r="A54" s="3">
        <v>7.2</v>
      </c>
      <c r="B54" s="3">
        <v>2362</v>
      </c>
      <c r="C54" s="3">
        <v>2362</v>
      </c>
      <c r="D54" s="3">
        <v>2362</v>
      </c>
      <c r="E54" s="3">
        <v>2362</v>
      </c>
      <c r="F54" s="3">
        <v>2362</v>
      </c>
      <c r="G54" s="3">
        <v>2362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2362</v>
      </c>
      <c r="P54" s="1">
        <v>1</v>
      </c>
    </row>
    <row r="55" spans="1:16">
      <c r="A55" s="3">
        <v>7.3</v>
      </c>
      <c r="B55" s="3">
        <v>4725</v>
      </c>
      <c r="C55" s="3">
        <v>4725</v>
      </c>
      <c r="D55" s="3">
        <v>4725</v>
      </c>
      <c r="E55" s="3">
        <v>4725</v>
      </c>
      <c r="F55" s="3">
        <v>4725</v>
      </c>
      <c r="G55" s="3">
        <v>4725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4725</v>
      </c>
      <c r="P55" s="1">
        <v>1</v>
      </c>
    </row>
    <row r="56" spans="1:16">
      <c r="A56" s="3">
        <v>7.5</v>
      </c>
      <c r="B56" s="3">
        <v>16540</v>
      </c>
      <c r="C56" s="3">
        <v>16540</v>
      </c>
      <c r="D56" s="3">
        <v>16540</v>
      </c>
      <c r="E56" s="3">
        <v>16540</v>
      </c>
      <c r="F56" s="3">
        <v>16540</v>
      </c>
      <c r="G56" s="3">
        <v>16540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16540</v>
      </c>
      <c r="P56" s="1">
        <v>1</v>
      </c>
    </row>
    <row r="57" spans="1:16">
      <c r="A57" s="3">
        <v>7.6</v>
      </c>
      <c r="B57" s="3">
        <v>1181</v>
      </c>
      <c r="C57" s="3">
        <v>1181</v>
      </c>
      <c r="D57" s="3">
        <v>1181</v>
      </c>
      <c r="E57" s="3">
        <v>1181</v>
      </c>
      <c r="F57" s="3">
        <v>1181</v>
      </c>
      <c r="G57" s="3">
        <v>1181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1181</v>
      </c>
      <c r="P57" s="1">
        <v>1</v>
      </c>
    </row>
    <row r="58" spans="1:16">
      <c r="A58" s="3">
        <v>7.9</v>
      </c>
      <c r="B58" s="3">
        <v>1181</v>
      </c>
      <c r="C58" s="3">
        <v>1181</v>
      </c>
      <c r="D58" s="3">
        <v>1181</v>
      </c>
      <c r="E58" s="3">
        <v>1181</v>
      </c>
      <c r="F58" s="3">
        <v>1181</v>
      </c>
      <c r="G58" s="3">
        <v>1181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1181</v>
      </c>
      <c r="P58" s="1">
        <v>1</v>
      </c>
    </row>
    <row r="59" spans="1:16">
      <c r="A59" s="3">
        <v>8</v>
      </c>
      <c r="B59" s="3">
        <v>210301</v>
      </c>
      <c r="C59" s="3">
        <v>210301</v>
      </c>
      <c r="D59" s="3">
        <v>210301</v>
      </c>
      <c r="E59" s="3">
        <v>210301</v>
      </c>
      <c r="F59" s="3">
        <v>210301</v>
      </c>
      <c r="G59" s="3">
        <v>210301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210301</v>
      </c>
      <c r="P59" s="1">
        <v>1</v>
      </c>
    </row>
    <row r="60" spans="1:16">
      <c r="A60" s="3">
        <v>8.3</v>
      </c>
      <c r="B60" s="3">
        <v>9918</v>
      </c>
      <c r="C60" s="3">
        <v>9918</v>
      </c>
      <c r="D60" s="3">
        <v>9918</v>
      </c>
      <c r="E60" s="3">
        <v>9918</v>
      </c>
      <c r="F60" s="3">
        <v>9918</v>
      </c>
      <c r="G60" s="3">
        <v>9918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9918</v>
      </c>
      <c r="P60" s="1">
        <v>1</v>
      </c>
    </row>
    <row r="61" spans="1:16">
      <c r="A61" s="3">
        <v>8.5</v>
      </c>
      <c r="B61" s="3">
        <v>21639</v>
      </c>
      <c r="C61" s="3">
        <v>21639</v>
      </c>
      <c r="D61" s="3">
        <v>21639</v>
      </c>
      <c r="E61" s="3">
        <v>21639</v>
      </c>
      <c r="F61" s="3">
        <v>21639</v>
      </c>
      <c r="G61" s="3">
        <v>21639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21639</v>
      </c>
      <c r="P61" s="1">
        <v>1</v>
      </c>
    </row>
    <row r="62" spans="1:16">
      <c r="A62" s="3">
        <v>8.6</v>
      </c>
      <c r="B62" s="3">
        <v>6311</v>
      </c>
      <c r="C62" s="3">
        <v>6311</v>
      </c>
      <c r="D62" s="3">
        <v>6311</v>
      </c>
      <c r="E62" s="3">
        <v>6311</v>
      </c>
      <c r="F62" s="3">
        <v>6311</v>
      </c>
      <c r="G62" s="3">
        <v>6311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6311</v>
      </c>
      <c r="P62" s="1">
        <v>1</v>
      </c>
    </row>
    <row r="63" spans="1:16">
      <c r="A63" s="3">
        <v>9</v>
      </c>
      <c r="B63" s="3">
        <v>142460</v>
      </c>
      <c r="C63" s="3">
        <v>142460</v>
      </c>
      <c r="D63" s="3">
        <v>142460</v>
      </c>
      <c r="E63" s="3">
        <v>142460</v>
      </c>
      <c r="F63" s="3">
        <v>142460</v>
      </c>
      <c r="G63" s="3">
        <v>142460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142460</v>
      </c>
      <c r="P63" s="1">
        <v>1</v>
      </c>
    </row>
    <row r="64" spans="1:16">
      <c r="A64" s="3">
        <v>9.3</v>
      </c>
      <c r="B64" s="3">
        <v>1752</v>
      </c>
      <c r="C64" s="3">
        <v>1752</v>
      </c>
      <c r="D64" s="3">
        <v>1752</v>
      </c>
      <c r="E64" s="3">
        <v>1752</v>
      </c>
      <c r="F64" s="3">
        <v>1752</v>
      </c>
      <c r="G64" s="3">
        <v>1752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1752</v>
      </c>
      <c r="P64" s="1">
        <v>1</v>
      </c>
    </row>
    <row r="65" spans="1:16">
      <c r="A65" s="3">
        <v>10</v>
      </c>
      <c r="B65" s="3">
        <v>348830</v>
      </c>
      <c r="C65" s="3">
        <v>348830</v>
      </c>
      <c r="D65" s="3">
        <v>348830</v>
      </c>
      <c r="E65" s="3">
        <v>348830</v>
      </c>
      <c r="F65" s="3">
        <v>348830</v>
      </c>
      <c r="G65" s="3">
        <v>40000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348830</v>
      </c>
      <c r="P65" s="1">
        <v>1</v>
      </c>
    </row>
    <row r="66" spans="1:16">
      <c r="A66" s="3">
        <v>10.3</v>
      </c>
      <c r="B66" s="3">
        <v>11824</v>
      </c>
      <c r="C66" s="3">
        <v>11824</v>
      </c>
      <c r="D66" s="3">
        <v>11824</v>
      </c>
      <c r="E66" s="3">
        <v>11824</v>
      </c>
      <c r="F66" s="3">
        <v>11824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11824</v>
      </c>
      <c r="P66" s="1">
        <v>1</v>
      </c>
    </row>
    <row r="67" spans="1:16">
      <c r="A67" s="3">
        <v>10.5</v>
      </c>
      <c r="B67" s="3">
        <v>13794</v>
      </c>
      <c r="C67" s="3">
        <v>13794</v>
      </c>
      <c r="D67" s="3">
        <v>13794</v>
      </c>
      <c r="E67" s="3">
        <v>13794</v>
      </c>
      <c r="F67" s="3">
        <v>13794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13794</v>
      </c>
      <c r="P67" s="1">
        <v>1</v>
      </c>
    </row>
    <row r="68" spans="1:16">
      <c r="A68" s="3">
        <v>10.6</v>
      </c>
      <c r="B68" s="3">
        <v>12809</v>
      </c>
      <c r="C68" s="3">
        <v>12809</v>
      </c>
      <c r="D68" s="3">
        <v>12809</v>
      </c>
      <c r="E68" s="3">
        <v>12809</v>
      </c>
      <c r="F68" s="3">
        <v>12809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12809</v>
      </c>
      <c r="P68" s="1">
        <v>1</v>
      </c>
    </row>
    <row r="69" spans="1:16">
      <c r="A69" s="3">
        <v>10.9</v>
      </c>
      <c r="B69" s="3">
        <v>4926</v>
      </c>
      <c r="C69" s="3">
        <v>4926</v>
      </c>
      <c r="D69" s="3">
        <v>4926</v>
      </c>
      <c r="E69" s="3">
        <v>4926</v>
      </c>
      <c r="F69" s="3">
        <v>4926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4926</v>
      </c>
      <c r="P69" s="1">
        <v>1</v>
      </c>
    </row>
    <row r="70" spans="1:16">
      <c r="A70" s="3">
        <v>11</v>
      </c>
      <c r="B70" s="3">
        <v>24633</v>
      </c>
      <c r="C70" s="3">
        <v>24633</v>
      </c>
      <c r="D70" s="3">
        <v>24633</v>
      </c>
      <c r="E70" s="3">
        <v>24633</v>
      </c>
      <c r="F70" s="3">
        <v>24633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24633</v>
      </c>
      <c r="P70" s="1">
        <v>1</v>
      </c>
    </row>
    <row r="71" spans="1:16">
      <c r="A71" s="3">
        <v>11.3</v>
      </c>
      <c r="B71" s="3">
        <v>1970</v>
      </c>
      <c r="C71" s="3">
        <v>1970</v>
      </c>
      <c r="D71" s="3">
        <v>1970</v>
      </c>
      <c r="E71" s="3">
        <v>1970</v>
      </c>
      <c r="F71" s="3">
        <v>1970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1970</v>
      </c>
      <c r="P71" s="1">
        <v>1</v>
      </c>
    </row>
    <row r="72" spans="1:16">
      <c r="A72" s="3">
        <v>11.5</v>
      </c>
      <c r="B72" s="3">
        <v>3941</v>
      </c>
      <c r="C72" s="3">
        <v>3941</v>
      </c>
      <c r="D72" s="3">
        <v>3941</v>
      </c>
      <c r="E72" s="3">
        <v>3941</v>
      </c>
      <c r="F72" s="3">
        <v>3941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3941</v>
      </c>
      <c r="P72" s="1">
        <v>1</v>
      </c>
    </row>
    <row r="73" spans="1:16">
      <c r="A73" s="3">
        <v>11.9</v>
      </c>
      <c r="B73" s="3">
        <v>985</v>
      </c>
      <c r="C73" s="3">
        <v>985</v>
      </c>
      <c r="D73" s="3">
        <v>985</v>
      </c>
      <c r="E73" s="3">
        <v>985</v>
      </c>
      <c r="F73" s="3">
        <v>985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985</v>
      </c>
      <c r="P73" s="1">
        <v>1</v>
      </c>
    </row>
    <row r="74" spans="1:16">
      <c r="A74" s="3">
        <v>12</v>
      </c>
      <c r="B74" s="3">
        <v>27589</v>
      </c>
      <c r="C74" s="3">
        <v>27589</v>
      </c>
      <c r="D74" s="3">
        <v>27589</v>
      </c>
      <c r="E74" s="3">
        <v>27589</v>
      </c>
      <c r="F74" s="3">
        <v>27589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27589</v>
      </c>
      <c r="P74" s="1">
        <v>1</v>
      </c>
    </row>
    <row r="75" spans="1:16">
      <c r="A75" s="3">
        <v>12.5</v>
      </c>
      <c r="B75" s="3">
        <v>4926</v>
      </c>
      <c r="C75" s="3">
        <v>4926</v>
      </c>
      <c r="D75" s="3">
        <v>4926</v>
      </c>
      <c r="E75" s="3">
        <v>4926</v>
      </c>
      <c r="F75" s="3">
        <v>4926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4926</v>
      </c>
      <c r="P75" s="1">
        <v>1</v>
      </c>
    </row>
    <row r="76" spans="1:16">
      <c r="A76" s="3">
        <v>13</v>
      </c>
      <c r="B76" s="3">
        <v>5912</v>
      </c>
      <c r="C76" s="3">
        <v>5912</v>
      </c>
      <c r="D76" s="3">
        <v>5912</v>
      </c>
      <c r="E76" s="3">
        <v>5912</v>
      </c>
      <c r="F76" s="3">
        <v>5912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5912</v>
      </c>
      <c r="P76" s="1">
        <v>1</v>
      </c>
    </row>
    <row r="77" spans="1:16">
      <c r="A77" s="3">
        <v>13.3</v>
      </c>
      <c r="B77" s="3">
        <v>985</v>
      </c>
      <c r="C77" s="3">
        <v>985</v>
      </c>
      <c r="D77" s="3">
        <v>985</v>
      </c>
      <c r="E77" s="3">
        <v>985</v>
      </c>
      <c r="F77" s="3">
        <v>985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985</v>
      </c>
      <c r="P77" s="1">
        <v>1</v>
      </c>
    </row>
    <row r="78" spans="1:16">
      <c r="A78" s="3">
        <v>14</v>
      </c>
      <c r="B78" s="3">
        <v>5912</v>
      </c>
      <c r="C78" s="3">
        <v>5912</v>
      </c>
      <c r="D78" s="3">
        <v>5912</v>
      </c>
      <c r="E78" s="3">
        <v>5912</v>
      </c>
      <c r="F78" s="3">
        <v>5912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5912</v>
      </c>
      <c r="P78" s="1">
        <v>1</v>
      </c>
    </row>
    <row r="79" spans="1:16">
      <c r="A79" s="3">
        <v>14.5</v>
      </c>
      <c r="B79" s="3">
        <v>985</v>
      </c>
      <c r="C79" s="3">
        <v>985</v>
      </c>
      <c r="D79" s="3">
        <v>985</v>
      </c>
      <c r="E79" s="3">
        <v>985</v>
      </c>
      <c r="F79" s="3">
        <v>985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985</v>
      </c>
      <c r="P79" s="1">
        <v>1</v>
      </c>
    </row>
    <row r="80" spans="1:16">
      <c r="A80" s="3">
        <v>15</v>
      </c>
      <c r="B80" s="3">
        <v>26604</v>
      </c>
      <c r="C80" s="3">
        <v>26604</v>
      </c>
      <c r="D80" s="3">
        <v>26604</v>
      </c>
      <c r="E80" s="3">
        <v>26604</v>
      </c>
      <c r="F80" s="3">
        <v>20000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26604</v>
      </c>
      <c r="P80" s="1">
        <v>1</v>
      </c>
    </row>
    <row r="81" spans="1:16">
      <c r="A81" s="3">
        <v>15.3</v>
      </c>
      <c r="B81" s="3">
        <v>2500</v>
      </c>
      <c r="C81" s="3">
        <v>2500</v>
      </c>
      <c r="D81" s="3">
        <v>2500</v>
      </c>
      <c r="E81" s="3">
        <v>2500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2500</v>
      </c>
      <c r="P81" s="1">
        <v>1</v>
      </c>
    </row>
    <row r="82" spans="1:16">
      <c r="A82" s="3">
        <v>15.5</v>
      </c>
      <c r="B82" s="3">
        <v>5000</v>
      </c>
      <c r="C82" s="3">
        <v>5000</v>
      </c>
      <c r="D82" s="3">
        <v>5000</v>
      </c>
      <c r="E82" s="3">
        <v>5000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5000</v>
      </c>
      <c r="P82" s="1">
        <v>1</v>
      </c>
    </row>
    <row r="83" spans="1:16">
      <c r="A83" s="3">
        <v>15.6</v>
      </c>
      <c r="B83" s="3">
        <v>1666</v>
      </c>
      <c r="C83" s="3">
        <v>1666</v>
      </c>
      <c r="D83" s="3">
        <v>1666</v>
      </c>
      <c r="E83" s="3">
        <v>1666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1666</v>
      </c>
      <c r="P83" s="1">
        <v>1</v>
      </c>
    </row>
    <row r="84" spans="1:16">
      <c r="A84" s="3">
        <v>15.9</v>
      </c>
      <c r="B84" s="3">
        <v>1666</v>
      </c>
      <c r="C84" s="3">
        <v>1666</v>
      </c>
      <c r="D84" s="3">
        <v>1666</v>
      </c>
      <c r="E84" s="3">
        <v>1666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1666</v>
      </c>
      <c r="P84" s="1">
        <v>1</v>
      </c>
    </row>
    <row r="85" spans="1:16">
      <c r="A85" s="3">
        <v>16</v>
      </c>
      <c r="B85" s="3">
        <v>5000</v>
      </c>
      <c r="C85" s="3">
        <v>5000</v>
      </c>
      <c r="D85" s="3">
        <v>5000</v>
      </c>
      <c r="E85" s="3">
        <v>5000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5000</v>
      </c>
      <c r="P85" s="1">
        <v>1</v>
      </c>
    </row>
    <row r="86" spans="1:16">
      <c r="A86" s="3">
        <v>17</v>
      </c>
      <c r="B86" s="3">
        <v>2500</v>
      </c>
      <c r="C86" s="3">
        <v>2500</v>
      </c>
      <c r="D86" s="3">
        <v>2500</v>
      </c>
      <c r="E86" s="3">
        <v>2500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2500</v>
      </c>
      <c r="P86" s="1">
        <v>1</v>
      </c>
    </row>
    <row r="87" spans="1:16">
      <c r="A87" s="3">
        <v>18</v>
      </c>
      <c r="B87" s="3">
        <v>7500</v>
      </c>
      <c r="C87" s="3">
        <v>7500</v>
      </c>
      <c r="D87" s="3">
        <v>7500</v>
      </c>
      <c r="E87" s="3">
        <v>7500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7500</v>
      </c>
      <c r="P87" s="1">
        <v>1</v>
      </c>
    </row>
    <row r="88" spans="1:16">
      <c r="A88" s="3">
        <v>19</v>
      </c>
      <c r="B88" s="3">
        <v>1666</v>
      </c>
      <c r="C88" s="3">
        <v>1666</v>
      </c>
      <c r="D88" s="3">
        <v>1666</v>
      </c>
      <c r="E88" s="3">
        <v>1666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1666</v>
      </c>
      <c r="P88" s="1">
        <v>1</v>
      </c>
    </row>
    <row r="89" spans="1:16">
      <c r="A89" s="3">
        <v>20</v>
      </c>
      <c r="B89" s="3">
        <v>72500</v>
      </c>
      <c r="C89" s="3">
        <v>72500</v>
      </c>
      <c r="D89" s="3">
        <v>72500</v>
      </c>
      <c r="E89" s="3">
        <v>64800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72500</v>
      </c>
      <c r="P89" s="1">
        <v>1</v>
      </c>
    </row>
    <row r="90" spans="1:16">
      <c r="A90" s="3">
        <v>20.3</v>
      </c>
      <c r="B90" s="3">
        <v>4000</v>
      </c>
      <c r="C90" s="3">
        <v>4000</v>
      </c>
      <c r="D90" s="3">
        <v>4000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4000</v>
      </c>
      <c r="P90" s="1">
        <v>1</v>
      </c>
    </row>
    <row r="91" spans="1:16">
      <c r="A91" s="3">
        <v>20.5</v>
      </c>
      <c r="B91" s="3">
        <v>1600</v>
      </c>
      <c r="C91" s="3">
        <v>1600</v>
      </c>
      <c r="D91" s="3">
        <v>1600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1600</v>
      </c>
      <c r="P91" s="1">
        <v>1</v>
      </c>
    </row>
    <row r="92" spans="1:16">
      <c r="A92" s="3">
        <v>20.6</v>
      </c>
      <c r="B92" s="3">
        <v>4000</v>
      </c>
      <c r="C92" s="3">
        <v>4000</v>
      </c>
      <c r="D92" s="3">
        <v>4000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4000</v>
      </c>
      <c r="P92" s="1">
        <v>1</v>
      </c>
    </row>
    <row r="93" spans="1:16">
      <c r="A93" s="3">
        <v>21</v>
      </c>
      <c r="B93" s="3">
        <v>4000</v>
      </c>
      <c r="C93" s="3">
        <v>4000</v>
      </c>
      <c r="D93" s="3">
        <v>4000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4000</v>
      </c>
      <c r="P93" s="1">
        <v>1</v>
      </c>
    </row>
    <row r="94" spans="1:16">
      <c r="A94" s="3">
        <v>21.1</v>
      </c>
      <c r="B94" s="3">
        <v>800</v>
      </c>
      <c r="C94" s="3">
        <v>800</v>
      </c>
      <c r="D94" s="3">
        <v>800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800</v>
      </c>
      <c r="P94" s="1">
        <v>1</v>
      </c>
    </row>
    <row r="95" spans="1:16">
      <c r="A95" s="3">
        <v>21.2</v>
      </c>
      <c r="B95" s="3">
        <v>800</v>
      </c>
      <c r="C95" s="3">
        <v>800</v>
      </c>
      <c r="D95" s="3">
        <v>800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800</v>
      </c>
      <c r="P95" s="1">
        <v>1</v>
      </c>
    </row>
    <row r="96" spans="1:16">
      <c r="A96" s="3">
        <v>21.4</v>
      </c>
      <c r="B96" s="3">
        <v>800</v>
      </c>
      <c r="C96" s="3">
        <v>800</v>
      </c>
      <c r="D96" s="3">
        <v>800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800</v>
      </c>
      <c r="P96" s="1">
        <v>1</v>
      </c>
    </row>
    <row r="97" spans="1:16">
      <c r="A97" s="3">
        <v>21.5</v>
      </c>
      <c r="B97" s="3">
        <v>1600</v>
      </c>
      <c r="C97" s="3">
        <v>1600</v>
      </c>
      <c r="D97" s="3">
        <v>1600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1600</v>
      </c>
      <c r="P97" s="1">
        <v>1</v>
      </c>
    </row>
    <row r="98" spans="1:16">
      <c r="A98" s="3">
        <v>21.8</v>
      </c>
      <c r="B98" s="3">
        <v>800</v>
      </c>
      <c r="C98" s="3">
        <v>800</v>
      </c>
      <c r="D98" s="3">
        <v>800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800</v>
      </c>
      <c r="P98" s="1">
        <v>1</v>
      </c>
    </row>
    <row r="99" spans="1:16">
      <c r="A99" s="3">
        <v>21.9</v>
      </c>
      <c r="B99" s="3">
        <v>800</v>
      </c>
      <c r="C99" s="3">
        <v>800</v>
      </c>
      <c r="D99" s="3">
        <v>800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800</v>
      </c>
      <c r="P99" s="1">
        <v>1</v>
      </c>
    </row>
    <row r="100" spans="1:16">
      <c r="A100" s="3">
        <v>22</v>
      </c>
      <c r="B100" s="3">
        <v>5600</v>
      </c>
      <c r="C100" s="3">
        <v>5600</v>
      </c>
      <c r="D100" s="3">
        <v>5600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5600</v>
      </c>
      <c r="P100" s="1">
        <v>1</v>
      </c>
    </row>
    <row r="101" spans="1:16">
      <c r="A101" s="3">
        <v>22.3</v>
      </c>
      <c r="B101" s="3">
        <v>800</v>
      </c>
      <c r="C101" s="3">
        <v>800</v>
      </c>
      <c r="D101" s="3">
        <v>800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800</v>
      </c>
      <c r="P101" s="1">
        <v>1</v>
      </c>
    </row>
    <row r="102" spans="1:16">
      <c r="A102" s="3">
        <v>22.4</v>
      </c>
      <c r="B102" s="3">
        <v>2400</v>
      </c>
      <c r="C102" s="3">
        <v>2400</v>
      </c>
      <c r="D102" s="3">
        <v>2400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2400</v>
      </c>
      <c r="P102" s="1">
        <v>1</v>
      </c>
    </row>
    <row r="103" spans="1:16">
      <c r="A103" s="3">
        <v>22.5</v>
      </c>
      <c r="B103" s="3">
        <v>1600</v>
      </c>
      <c r="C103" s="3">
        <v>1600</v>
      </c>
      <c r="D103" s="3">
        <v>1600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1600</v>
      </c>
      <c r="P103" s="1">
        <v>1</v>
      </c>
    </row>
    <row r="104" spans="1:16">
      <c r="A104" s="3">
        <v>23.5</v>
      </c>
      <c r="B104" s="3">
        <v>800</v>
      </c>
      <c r="C104" s="3">
        <v>800</v>
      </c>
      <c r="D104" s="3">
        <v>800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800</v>
      </c>
      <c r="P104" s="1">
        <v>1</v>
      </c>
    </row>
    <row r="105" spans="1:16">
      <c r="A105" s="3">
        <v>24</v>
      </c>
      <c r="B105" s="3">
        <v>4000</v>
      </c>
      <c r="C105" s="3">
        <v>4000</v>
      </c>
      <c r="D105" s="3">
        <v>4000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4000</v>
      </c>
      <c r="P105" s="1">
        <v>1</v>
      </c>
    </row>
    <row r="106" spans="1:16">
      <c r="A106" s="3">
        <v>25</v>
      </c>
      <c r="B106" s="3">
        <v>5600</v>
      </c>
      <c r="C106" s="3">
        <v>5600</v>
      </c>
      <c r="D106" s="3">
        <v>5600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5600</v>
      </c>
      <c r="P106" s="1">
        <v>1</v>
      </c>
    </row>
    <row r="107" spans="1:16">
      <c r="A107" s="3">
        <v>25.3</v>
      </c>
      <c r="B107" s="3">
        <v>1600</v>
      </c>
      <c r="C107" s="3">
        <v>1600</v>
      </c>
      <c r="D107" s="3">
        <v>1600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1600</v>
      </c>
      <c r="P107" s="1">
        <v>1</v>
      </c>
    </row>
    <row r="108" spans="1:16">
      <c r="A108" s="3">
        <v>25.6</v>
      </c>
      <c r="B108" s="3">
        <v>800</v>
      </c>
      <c r="C108" s="3">
        <v>800</v>
      </c>
      <c r="D108" s="3">
        <v>800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800</v>
      </c>
      <c r="P108" s="1">
        <v>1</v>
      </c>
    </row>
    <row r="109" spans="1:16">
      <c r="A109" s="3">
        <v>26</v>
      </c>
      <c r="B109" s="3">
        <v>2400</v>
      </c>
      <c r="C109" s="3">
        <v>2400</v>
      </c>
      <c r="D109" s="3">
        <v>2400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2400</v>
      </c>
      <c r="P109" s="1">
        <v>1</v>
      </c>
    </row>
    <row r="110" spans="1:16">
      <c r="A110" s="3">
        <v>26.3</v>
      </c>
      <c r="B110" s="3">
        <v>800</v>
      </c>
      <c r="C110" s="3">
        <v>800</v>
      </c>
      <c r="D110" s="3">
        <v>800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800</v>
      </c>
      <c r="P110" s="1">
        <v>1</v>
      </c>
    </row>
    <row r="111" spans="1:16">
      <c r="A111" s="3">
        <v>26.5</v>
      </c>
      <c r="B111" s="3">
        <v>800</v>
      </c>
      <c r="C111" s="3">
        <v>800</v>
      </c>
      <c r="D111" s="3">
        <v>800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800</v>
      </c>
      <c r="P111" s="1">
        <v>1</v>
      </c>
    </row>
    <row r="112" spans="1:16">
      <c r="A112" s="3">
        <v>27</v>
      </c>
      <c r="B112" s="3">
        <v>800</v>
      </c>
      <c r="C112" s="3">
        <v>800</v>
      </c>
      <c r="D112" s="3">
        <v>800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800</v>
      </c>
      <c r="P112" s="1">
        <v>1</v>
      </c>
    </row>
    <row r="113" spans="1:16">
      <c r="A113" s="3">
        <v>28</v>
      </c>
      <c r="B113" s="3">
        <v>1600</v>
      </c>
      <c r="C113" s="3">
        <v>1600</v>
      </c>
      <c r="D113" s="3">
        <v>1600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1600</v>
      </c>
      <c r="P113" s="1">
        <v>1</v>
      </c>
    </row>
    <row r="114" spans="1:16">
      <c r="A114" s="3">
        <v>29</v>
      </c>
      <c r="B114" s="3">
        <v>800</v>
      </c>
      <c r="C114" s="3">
        <v>800</v>
      </c>
      <c r="D114" s="3">
        <v>800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800</v>
      </c>
      <c r="P114" s="1">
        <v>1</v>
      </c>
    </row>
    <row r="115" spans="1:16">
      <c r="A115" s="3">
        <v>30</v>
      </c>
      <c r="B115" s="3">
        <v>30400</v>
      </c>
      <c r="C115" s="3">
        <v>30400</v>
      </c>
      <c r="D115" s="3">
        <v>20000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30400</v>
      </c>
      <c r="P115" s="1">
        <v>1</v>
      </c>
    </row>
    <row r="116" spans="1:16">
      <c r="A116" s="3">
        <v>30.3</v>
      </c>
      <c r="B116" s="3">
        <v>3111</v>
      </c>
      <c r="C116" s="3">
        <v>3111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3111</v>
      </c>
      <c r="P116" s="1">
        <v>1</v>
      </c>
    </row>
    <row r="117" spans="1:16">
      <c r="A117" s="3">
        <v>30.5</v>
      </c>
      <c r="B117" s="3">
        <v>4977</v>
      </c>
      <c r="C117" s="3">
        <v>4977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4977</v>
      </c>
      <c r="P117" s="1">
        <v>1</v>
      </c>
    </row>
    <row r="118" spans="1:16">
      <c r="A118" s="3">
        <v>30.6</v>
      </c>
      <c r="B118" s="3">
        <v>2488</v>
      </c>
      <c r="C118" s="3">
        <v>2488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2488</v>
      </c>
      <c r="P118" s="1">
        <v>1</v>
      </c>
    </row>
    <row r="119" spans="1:16">
      <c r="A119" s="3">
        <v>31</v>
      </c>
      <c r="B119" s="3">
        <v>6222</v>
      </c>
      <c r="C119" s="3">
        <v>6222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6222</v>
      </c>
      <c r="P119" s="1">
        <v>1</v>
      </c>
    </row>
    <row r="120" spans="1:16">
      <c r="A120" s="3">
        <v>31.5</v>
      </c>
      <c r="B120" s="3">
        <v>1866</v>
      </c>
      <c r="C120" s="3">
        <v>1866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1866</v>
      </c>
      <c r="P120" s="1">
        <v>1</v>
      </c>
    </row>
    <row r="121" spans="1:16">
      <c r="A121" s="3">
        <v>32</v>
      </c>
      <c r="B121" s="3">
        <v>6222</v>
      </c>
      <c r="C121" s="3">
        <v>6222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6222</v>
      </c>
      <c r="P121" s="1">
        <v>1</v>
      </c>
    </row>
    <row r="122" spans="1:16">
      <c r="A122" s="3">
        <v>33</v>
      </c>
      <c r="B122" s="3">
        <v>1244</v>
      </c>
      <c r="C122" s="3">
        <v>1244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1244</v>
      </c>
      <c r="P122" s="1">
        <v>1</v>
      </c>
    </row>
    <row r="123" spans="1:16">
      <c r="A123" s="3">
        <v>35</v>
      </c>
      <c r="B123" s="3">
        <v>8088</v>
      </c>
      <c r="C123" s="3">
        <v>8088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8088</v>
      </c>
      <c r="P123" s="1">
        <v>1</v>
      </c>
    </row>
    <row r="124" spans="1:16">
      <c r="A124" s="3">
        <v>35.3</v>
      </c>
      <c r="B124" s="3">
        <v>622</v>
      </c>
      <c r="C124" s="3">
        <v>622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622</v>
      </c>
      <c r="P124" s="1">
        <v>1</v>
      </c>
    </row>
    <row r="125" spans="1:16">
      <c r="A125" s="3">
        <v>35.5</v>
      </c>
      <c r="B125" s="3">
        <v>4977</v>
      </c>
      <c r="C125" s="3">
        <v>4977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4977</v>
      </c>
      <c r="P125" s="1">
        <v>1</v>
      </c>
    </row>
    <row r="126" spans="1:16">
      <c r="A126" s="3">
        <v>36</v>
      </c>
      <c r="B126" s="3">
        <v>2488</v>
      </c>
      <c r="C126" s="3">
        <v>2488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2488</v>
      </c>
      <c r="P126" s="1">
        <v>1</v>
      </c>
    </row>
    <row r="127" spans="1:16">
      <c r="A127" s="3">
        <v>39</v>
      </c>
      <c r="B127" s="3">
        <v>1244</v>
      </c>
      <c r="C127" s="3">
        <v>1244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1244</v>
      </c>
      <c r="P127" s="1">
        <v>1</v>
      </c>
    </row>
    <row r="128" spans="1:16">
      <c r="A128" s="3">
        <v>40</v>
      </c>
      <c r="B128" s="3">
        <v>12444</v>
      </c>
      <c r="C128" s="3">
        <v>2290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12444</v>
      </c>
      <c r="P128" s="1">
        <v>1</v>
      </c>
    </row>
    <row r="129" spans="1:16">
      <c r="A129" s="3">
        <v>40.3</v>
      </c>
      <c r="B129" s="3">
        <v>1000</v>
      </c>
      <c r="C129" s="3">
        <v>1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1000</v>
      </c>
      <c r="P129" s="1">
        <v>1</v>
      </c>
    </row>
    <row r="130" spans="1:16">
      <c r="A130" s="3">
        <v>40.6</v>
      </c>
      <c r="B130" s="3">
        <v>1000</v>
      </c>
      <c r="C130" s="3">
        <v>1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1000</v>
      </c>
      <c r="P130" s="1">
        <v>1</v>
      </c>
    </row>
    <row r="131" spans="1:16">
      <c r="A131" s="3">
        <v>41</v>
      </c>
      <c r="B131" s="3">
        <v>1000</v>
      </c>
      <c r="C131" s="3">
        <v>1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1000</v>
      </c>
      <c r="P131" s="1">
        <v>1</v>
      </c>
    </row>
    <row r="132" spans="1:16">
      <c r="A132" s="3">
        <v>41.5</v>
      </c>
      <c r="B132" s="3">
        <v>1000</v>
      </c>
      <c r="C132" s="3">
        <v>1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1000</v>
      </c>
      <c r="P132" s="1">
        <v>1</v>
      </c>
    </row>
    <row r="133" spans="1:16">
      <c r="A133" s="3">
        <v>42</v>
      </c>
      <c r="B133" s="3">
        <v>1000</v>
      </c>
      <c r="C133" s="3">
        <v>1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1000</v>
      </c>
      <c r="P133" s="1">
        <v>1</v>
      </c>
    </row>
    <row r="134" spans="1:16">
      <c r="A134" s="3">
        <v>44</v>
      </c>
      <c r="B134" s="3">
        <v>1000</v>
      </c>
      <c r="C134" s="3">
        <v>1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1000</v>
      </c>
      <c r="P134" s="1">
        <v>1</v>
      </c>
    </row>
    <row r="135" spans="1:16">
      <c r="A135" s="3">
        <v>45</v>
      </c>
      <c r="B135" s="3">
        <v>1000</v>
      </c>
      <c r="C135" s="3">
        <v>1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1000</v>
      </c>
      <c r="P135" s="1">
        <v>1</v>
      </c>
    </row>
    <row r="136" spans="1:16">
      <c r="A136" s="3">
        <v>45.3</v>
      </c>
      <c r="B136" s="3">
        <v>1000</v>
      </c>
      <c r="C136" s="3">
        <v>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1000</v>
      </c>
      <c r="P136" s="1">
        <v>1</v>
      </c>
    </row>
    <row r="137" spans="1:16">
      <c r="A137" s="3">
        <v>50</v>
      </c>
      <c r="B137" s="3">
        <v>12000</v>
      </c>
      <c r="C137" s="3">
        <v>1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12000</v>
      </c>
      <c r="P137" s="1">
        <v>1</v>
      </c>
    </row>
    <row r="138" spans="1:16">
      <c r="A138" s="3">
        <v>50.5</v>
      </c>
      <c r="B138" s="3">
        <v>2666</v>
      </c>
      <c r="C138" s="3">
        <v>1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2666</v>
      </c>
      <c r="P138" s="1">
        <v>1</v>
      </c>
    </row>
    <row r="139" spans="1:16">
      <c r="A139" s="3">
        <v>60</v>
      </c>
      <c r="B139" s="3">
        <v>5333</v>
      </c>
      <c r="C139" s="3">
        <v>1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5333</v>
      </c>
      <c r="P139" s="1">
        <v>1</v>
      </c>
    </row>
    <row r="140" spans="1:16">
      <c r="A140" s="3">
        <v>100</v>
      </c>
      <c r="B140" s="3">
        <v>100</v>
      </c>
      <c r="C140" s="3">
        <v>1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100</v>
      </c>
      <c r="P140" s="1">
        <v>1</v>
      </c>
    </row>
    <row r="141" spans="1:16">
      <c r="A141" s="3">
        <v>100.3</v>
      </c>
      <c r="B141" s="3">
        <v>50</v>
      </c>
      <c r="C141" s="3">
        <v>1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50</v>
      </c>
      <c r="P141" s="1">
        <v>1</v>
      </c>
    </row>
    <row r="142" spans="1:16">
      <c r="A142" s="3">
        <v>200</v>
      </c>
      <c r="B142" s="3">
        <v>20</v>
      </c>
      <c r="C142" s="3">
        <v>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20</v>
      </c>
      <c r="P142" s="1">
        <v>1</v>
      </c>
    </row>
    <row r="143" spans="1:16">
      <c r="A143" s="3">
        <v>245</v>
      </c>
      <c r="B143" s="3">
        <v>20</v>
      </c>
      <c r="C143" s="3">
        <v>1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20</v>
      </c>
      <c r="P143" s="1">
        <v>1</v>
      </c>
    </row>
    <row r="144" spans="1:16">
      <c r="A144" s="3">
        <v>380</v>
      </c>
      <c r="B144" s="3">
        <v>6</v>
      </c>
      <c r="C144" s="3">
        <v>1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6</v>
      </c>
      <c r="P144" s="1">
        <v>1</v>
      </c>
    </row>
    <row r="145" spans="1:16">
      <c r="A145" s="3">
        <v>480</v>
      </c>
      <c r="B145" s="3">
        <v>6</v>
      </c>
      <c r="C145" s="3">
        <v>1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6</v>
      </c>
      <c r="P145" s="1">
        <v>1</v>
      </c>
    </row>
    <row r="146" spans="1:16">
      <c r="A146" s="3">
        <v>500</v>
      </c>
      <c r="B146" s="3">
        <v>6</v>
      </c>
      <c r="C146" s="3">
        <v>1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6</v>
      </c>
      <c r="P146" s="1">
        <v>1</v>
      </c>
    </row>
    <row r="147" spans="1:16">
      <c r="A147" s="3">
        <v>650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1">
        <v>1</v>
      </c>
    </row>
    <row r="148" spans="1:16">
      <c r="A148" s="3">
        <v>1100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1">
        <v>1</v>
      </c>
    </row>
    <row r="149" spans="1:16">
      <c r="A149" s="3">
        <v>2000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1">
        <v>1</v>
      </c>
    </row>
  </sheetData>
  <conditionalFormatting sqref="A712:A1717">
    <cfRule type="duplicateValues" dxfId="0" priority="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2"/>
  <sheetViews>
    <sheetView tabSelected="1" workbookViewId="0">
      <pane ySplit="2" topLeftCell="A180" activePane="bottomLeft" state="frozen"/>
      <selection/>
      <selection pane="bottomLeft" activeCell="S208" sqref="S208"/>
    </sheetView>
  </sheetViews>
  <sheetFormatPr defaultColWidth="8.88888888888889" defaultRowHeight="13.8"/>
  <cols>
    <col min="1" max="1" width="9"/>
    <col min="2" max="7" width="8.88888888888889" style="1"/>
  </cols>
  <sheetData>
    <row r="1" spans="1:16">
      <c r="A1" t="s">
        <v>34</v>
      </c>
      <c r="B1" s="2">
        <v>96</v>
      </c>
      <c r="C1" s="2">
        <v>92</v>
      </c>
      <c r="D1" s="2">
        <v>88</v>
      </c>
      <c r="E1" s="2">
        <v>84</v>
      </c>
      <c r="F1" s="2">
        <v>80</v>
      </c>
      <c r="G1">
        <v>70</v>
      </c>
      <c r="H1">
        <v>60</v>
      </c>
      <c r="I1">
        <v>50</v>
      </c>
      <c r="J1">
        <v>40</v>
      </c>
      <c r="K1">
        <v>30</v>
      </c>
      <c r="L1">
        <v>20</v>
      </c>
      <c r="M1">
        <v>10</v>
      </c>
      <c r="N1">
        <v>1</v>
      </c>
      <c r="O1">
        <v>100</v>
      </c>
      <c r="P1" s="1">
        <v>-1</v>
      </c>
    </row>
    <row r="2" spans="1:16">
      <c r="A2" s="3">
        <v>0.3</v>
      </c>
      <c r="B2" s="3">
        <v>1280</v>
      </c>
      <c r="C2" s="3">
        <v>1280</v>
      </c>
      <c r="D2" s="3">
        <v>6</v>
      </c>
      <c r="E2" s="3">
        <v>6</v>
      </c>
      <c r="F2" s="3">
        <v>6</v>
      </c>
      <c r="G2" s="3">
        <v>6</v>
      </c>
      <c r="H2" s="3">
        <v>6</v>
      </c>
      <c r="I2" s="3">
        <v>6</v>
      </c>
      <c r="J2" s="3">
        <v>6</v>
      </c>
      <c r="K2" s="3">
        <v>6</v>
      </c>
      <c r="L2" s="3">
        <v>6</v>
      </c>
      <c r="M2" s="3">
        <v>6</v>
      </c>
      <c r="N2" s="3">
        <v>6</v>
      </c>
      <c r="O2" s="3">
        <v>1</v>
      </c>
      <c r="P2" s="3">
        <v>1</v>
      </c>
    </row>
    <row r="3" spans="1:16">
      <c r="A3" s="3">
        <v>0.5</v>
      </c>
      <c r="B3" s="3">
        <v>1320</v>
      </c>
      <c r="C3" s="3">
        <v>1320</v>
      </c>
      <c r="D3" s="3">
        <v>6</v>
      </c>
      <c r="E3" s="3">
        <v>6</v>
      </c>
      <c r="F3" s="3">
        <v>6</v>
      </c>
      <c r="G3" s="3">
        <v>6</v>
      </c>
      <c r="H3" s="3">
        <v>6</v>
      </c>
      <c r="I3" s="3">
        <v>6</v>
      </c>
      <c r="J3" s="3">
        <v>6</v>
      </c>
      <c r="K3" s="3">
        <v>6</v>
      </c>
      <c r="L3" s="3">
        <v>6</v>
      </c>
      <c r="M3" s="3">
        <v>6</v>
      </c>
      <c r="N3" s="3">
        <v>6</v>
      </c>
      <c r="O3" s="3">
        <v>2</v>
      </c>
      <c r="P3" s="3">
        <v>1</v>
      </c>
    </row>
    <row r="4" spans="1:16">
      <c r="A4" s="3">
        <v>0.6</v>
      </c>
      <c r="B4" s="3">
        <v>1360</v>
      </c>
      <c r="C4" s="3">
        <v>1360</v>
      </c>
      <c r="D4" s="3">
        <v>6</v>
      </c>
      <c r="E4" s="3">
        <v>6</v>
      </c>
      <c r="F4" s="3">
        <v>6</v>
      </c>
      <c r="G4" s="3">
        <v>6</v>
      </c>
      <c r="H4" s="3">
        <v>6</v>
      </c>
      <c r="I4" s="3">
        <v>6</v>
      </c>
      <c r="J4" s="3">
        <v>6</v>
      </c>
      <c r="K4" s="3">
        <v>6</v>
      </c>
      <c r="L4" s="3">
        <v>6</v>
      </c>
      <c r="M4" s="3">
        <v>6</v>
      </c>
      <c r="N4" s="3">
        <v>1</v>
      </c>
      <c r="O4" s="3">
        <v>3</v>
      </c>
      <c r="P4" s="3">
        <v>1</v>
      </c>
    </row>
    <row r="5" spans="1:16">
      <c r="A5" s="3">
        <v>0.9</v>
      </c>
      <c r="B5" s="3">
        <v>1400</v>
      </c>
      <c r="C5" s="3">
        <v>1400</v>
      </c>
      <c r="D5" s="3">
        <v>6</v>
      </c>
      <c r="E5" s="3">
        <v>6</v>
      </c>
      <c r="F5" s="3">
        <v>6</v>
      </c>
      <c r="G5" s="3">
        <v>6</v>
      </c>
      <c r="H5" s="3">
        <v>6</v>
      </c>
      <c r="I5" s="3">
        <v>6</v>
      </c>
      <c r="J5" s="3">
        <v>6</v>
      </c>
      <c r="K5" s="3">
        <v>6</v>
      </c>
      <c r="L5" s="3">
        <v>6</v>
      </c>
      <c r="M5" s="3">
        <v>6</v>
      </c>
      <c r="N5" s="3">
        <v>0</v>
      </c>
      <c r="O5" s="3">
        <v>4</v>
      </c>
      <c r="P5" s="3">
        <v>1</v>
      </c>
    </row>
    <row r="6" spans="1:16">
      <c r="A6" s="3">
        <v>1</v>
      </c>
      <c r="B6" s="3">
        <v>1440</v>
      </c>
      <c r="C6" s="3">
        <v>1440</v>
      </c>
      <c r="D6" s="3">
        <v>6</v>
      </c>
      <c r="E6" s="3">
        <v>6</v>
      </c>
      <c r="F6" s="3">
        <v>6</v>
      </c>
      <c r="G6" s="3">
        <v>6</v>
      </c>
      <c r="H6" s="3">
        <v>6</v>
      </c>
      <c r="I6" s="3">
        <v>6</v>
      </c>
      <c r="J6" s="3">
        <v>6</v>
      </c>
      <c r="K6" s="3">
        <v>6</v>
      </c>
      <c r="L6" s="3">
        <v>6</v>
      </c>
      <c r="M6" s="3">
        <v>6</v>
      </c>
      <c r="N6" s="3">
        <v>0</v>
      </c>
      <c r="O6" s="3">
        <v>5</v>
      </c>
      <c r="P6" s="3">
        <v>1</v>
      </c>
    </row>
    <row r="7" spans="1:16">
      <c r="A7" s="3">
        <v>1.2</v>
      </c>
      <c r="B7" s="3">
        <v>1480</v>
      </c>
      <c r="C7" s="3">
        <v>1480</v>
      </c>
      <c r="D7" s="3">
        <v>5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0</v>
      </c>
      <c r="O7" s="3">
        <v>6</v>
      </c>
      <c r="P7" s="3">
        <v>1</v>
      </c>
    </row>
    <row r="8" spans="1:16">
      <c r="A8" s="3">
        <v>1.3</v>
      </c>
      <c r="B8" s="3">
        <v>1520</v>
      </c>
      <c r="C8" s="3">
        <v>1520</v>
      </c>
      <c r="D8" s="3">
        <v>5</v>
      </c>
      <c r="E8" s="3">
        <v>5</v>
      </c>
      <c r="F8" s="3">
        <v>5</v>
      </c>
      <c r="G8" s="3">
        <v>5</v>
      </c>
      <c r="H8" s="3">
        <v>5</v>
      </c>
      <c r="I8" s="3">
        <v>5</v>
      </c>
      <c r="J8" s="3">
        <v>5</v>
      </c>
      <c r="K8" s="3">
        <v>5</v>
      </c>
      <c r="L8" s="3">
        <v>5</v>
      </c>
      <c r="M8" s="3">
        <v>5</v>
      </c>
      <c r="N8" s="3">
        <v>0</v>
      </c>
      <c r="O8" s="3">
        <v>7</v>
      </c>
      <c r="P8" s="3">
        <v>1</v>
      </c>
    </row>
    <row r="9" spans="1:16">
      <c r="A9" s="3">
        <v>1.5</v>
      </c>
      <c r="B9" s="3">
        <v>1560</v>
      </c>
      <c r="C9" s="3">
        <v>1560</v>
      </c>
      <c r="D9" s="3">
        <v>5</v>
      </c>
      <c r="E9" s="3">
        <v>5</v>
      </c>
      <c r="F9" s="3">
        <v>5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3">
        <v>5</v>
      </c>
      <c r="N9" s="3">
        <v>0</v>
      </c>
      <c r="O9" s="3">
        <v>8</v>
      </c>
      <c r="P9" s="3">
        <v>1</v>
      </c>
    </row>
    <row r="10" spans="1:16">
      <c r="A10" s="3">
        <v>1.8</v>
      </c>
      <c r="B10" s="3">
        <v>1600</v>
      </c>
      <c r="C10" s="3">
        <v>1600</v>
      </c>
      <c r="D10" s="3">
        <v>5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0</v>
      </c>
      <c r="O10" s="3">
        <v>9</v>
      </c>
      <c r="P10" s="3">
        <v>1</v>
      </c>
    </row>
    <row r="11" spans="1:16">
      <c r="A11" s="3">
        <v>2</v>
      </c>
      <c r="B11" s="3">
        <v>1640</v>
      </c>
      <c r="C11" s="3">
        <v>1640</v>
      </c>
      <c r="D11" s="3">
        <v>5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0</v>
      </c>
      <c r="O11" s="3">
        <v>10</v>
      </c>
      <c r="P11" s="3">
        <v>1</v>
      </c>
    </row>
    <row r="12" spans="1:16">
      <c r="A12" s="3">
        <v>2.2</v>
      </c>
      <c r="B12" s="3">
        <v>1680</v>
      </c>
      <c r="C12" s="3">
        <v>1680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5</v>
      </c>
      <c r="K12" s="3">
        <v>5</v>
      </c>
      <c r="L12" s="3">
        <v>5</v>
      </c>
      <c r="M12" s="3">
        <v>5</v>
      </c>
      <c r="N12" s="3">
        <v>0</v>
      </c>
      <c r="O12" s="3">
        <v>11</v>
      </c>
      <c r="P12" s="3">
        <v>1</v>
      </c>
    </row>
    <row r="13" spans="1:16">
      <c r="A13" s="3">
        <v>2.3</v>
      </c>
      <c r="B13" s="3">
        <v>1720</v>
      </c>
      <c r="C13" s="3">
        <v>1720</v>
      </c>
      <c r="D13" s="3">
        <v>5</v>
      </c>
      <c r="E13" s="3">
        <v>5</v>
      </c>
      <c r="F13" s="3">
        <v>5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0</v>
      </c>
      <c r="O13" s="3">
        <v>350</v>
      </c>
      <c r="P13" s="3">
        <v>1</v>
      </c>
    </row>
    <row r="14" spans="1:16">
      <c r="A14" s="3">
        <v>2.4</v>
      </c>
      <c r="B14" s="3">
        <v>1760</v>
      </c>
      <c r="C14" s="3">
        <v>1760</v>
      </c>
      <c r="D14" s="3">
        <v>5</v>
      </c>
      <c r="E14" s="3">
        <v>5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3">
        <v>5</v>
      </c>
      <c r="L14" s="3">
        <v>5</v>
      </c>
      <c r="M14" s="3">
        <v>5</v>
      </c>
      <c r="N14" s="3">
        <v>0</v>
      </c>
      <c r="O14" s="3">
        <v>1760</v>
      </c>
      <c r="P14" s="3">
        <v>1</v>
      </c>
    </row>
    <row r="15" spans="1:16">
      <c r="A15" s="3">
        <v>2.5</v>
      </c>
      <c r="B15" s="3">
        <v>1800</v>
      </c>
      <c r="C15" s="3">
        <v>1800</v>
      </c>
      <c r="D15" s="3">
        <v>5</v>
      </c>
      <c r="E15" s="3">
        <v>5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0</v>
      </c>
      <c r="O15" s="3">
        <v>1800</v>
      </c>
      <c r="P15" s="3">
        <v>1</v>
      </c>
    </row>
    <row r="16" spans="1:16">
      <c r="A16" s="3">
        <v>2.6</v>
      </c>
      <c r="B16" s="3">
        <v>1840</v>
      </c>
      <c r="C16" s="3">
        <v>1840</v>
      </c>
      <c r="D16" s="3">
        <v>5</v>
      </c>
      <c r="E16" s="3">
        <v>5</v>
      </c>
      <c r="F16" s="3">
        <v>5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  <c r="L16" s="3">
        <v>5</v>
      </c>
      <c r="M16" s="3">
        <v>5</v>
      </c>
      <c r="N16" s="3">
        <v>0</v>
      </c>
      <c r="O16" s="3">
        <v>1840</v>
      </c>
      <c r="P16" s="3">
        <v>1</v>
      </c>
    </row>
    <row r="17" spans="1:16">
      <c r="A17" s="3">
        <v>2.7</v>
      </c>
      <c r="B17" s="3">
        <v>1880</v>
      </c>
      <c r="C17" s="3">
        <v>1880</v>
      </c>
      <c r="D17" s="3">
        <v>5</v>
      </c>
      <c r="E17" s="3">
        <v>5</v>
      </c>
      <c r="F17" s="3">
        <v>5</v>
      </c>
      <c r="G17" s="3">
        <v>5</v>
      </c>
      <c r="H17" s="3">
        <v>5</v>
      </c>
      <c r="I17" s="3">
        <v>5</v>
      </c>
      <c r="J17" s="3">
        <v>5</v>
      </c>
      <c r="K17" s="3">
        <v>5</v>
      </c>
      <c r="L17" s="3">
        <v>5</v>
      </c>
      <c r="M17" s="3">
        <v>5</v>
      </c>
      <c r="N17" s="3">
        <v>0</v>
      </c>
      <c r="O17" s="3">
        <v>1880</v>
      </c>
      <c r="P17" s="3">
        <v>1</v>
      </c>
    </row>
    <row r="18" spans="1:16">
      <c r="A18" s="3">
        <v>3</v>
      </c>
      <c r="B18" s="3">
        <v>1920</v>
      </c>
      <c r="C18" s="3">
        <v>1920</v>
      </c>
      <c r="D18" s="3">
        <v>7</v>
      </c>
      <c r="E18" s="3">
        <v>7</v>
      </c>
      <c r="F18" s="3">
        <v>7</v>
      </c>
      <c r="G18" s="3">
        <v>7</v>
      </c>
      <c r="H18" s="3">
        <v>7</v>
      </c>
      <c r="I18" s="3">
        <v>7</v>
      </c>
      <c r="J18" s="3">
        <v>7</v>
      </c>
      <c r="K18" s="3">
        <v>7</v>
      </c>
      <c r="L18" s="3">
        <v>7</v>
      </c>
      <c r="M18" s="3">
        <v>7</v>
      </c>
      <c r="N18" s="3">
        <v>0</v>
      </c>
      <c r="O18" s="3">
        <v>1920</v>
      </c>
      <c r="P18" s="3">
        <v>1</v>
      </c>
    </row>
    <row r="19" spans="1:16">
      <c r="A19" s="3">
        <v>3.5</v>
      </c>
      <c r="B19" s="3">
        <v>1960</v>
      </c>
      <c r="C19" s="3">
        <v>1960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0</v>
      </c>
      <c r="O19" s="3">
        <v>1960</v>
      </c>
      <c r="P19" s="3">
        <v>1</v>
      </c>
    </row>
    <row r="20" spans="1:16">
      <c r="A20" s="3">
        <v>4</v>
      </c>
      <c r="B20" s="3">
        <v>2000</v>
      </c>
      <c r="C20" s="3">
        <v>2000</v>
      </c>
      <c r="D20" s="3">
        <v>30</v>
      </c>
      <c r="E20" s="3">
        <v>30</v>
      </c>
      <c r="F20" s="3">
        <v>30</v>
      </c>
      <c r="G20" s="3">
        <v>30</v>
      </c>
      <c r="H20" s="3">
        <v>30</v>
      </c>
      <c r="I20" s="3">
        <v>30</v>
      </c>
      <c r="J20" s="3">
        <v>30</v>
      </c>
      <c r="K20" s="3">
        <v>30</v>
      </c>
      <c r="L20" s="3">
        <v>30</v>
      </c>
      <c r="M20" s="3">
        <v>30</v>
      </c>
      <c r="N20" s="3">
        <v>0</v>
      </c>
      <c r="O20" s="3">
        <v>2000</v>
      </c>
      <c r="P20" s="3">
        <v>1</v>
      </c>
    </row>
    <row r="21" spans="1:16">
      <c r="A21" s="3">
        <v>4.5</v>
      </c>
      <c r="B21" s="3">
        <v>2040</v>
      </c>
      <c r="C21" s="3">
        <v>2040</v>
      </c>
      <c r="D21" s="3">
        <v>15</v>
      </c>
      <c r="E21" s="3">
        <v>15</v>
      </c>
      <c r="F21" s="3">
        <v>15</v>
      </c>
      <c r="G21" s="3">
        <v>15</v>
      </c>
      <c r="H21" s="3">
        <v>15</v>
      </c>
      <c r="I21" s="3">
        <v>15</v>
      </c>
      <c r="J21" s="3">
        <v>15</v>
      </c>
      <c r="K21" s="3">
        <v>15</v>
      </c>
      <c r="L21" s="3">
        <v>15</v>
      </c>
      <c r="M21" s="3">
        <v>15</v>
      </c>
      <c r="N21" s="3">
        <v>0</v>
      </c>
      <c r="O21" s="3">
        <v>2040</v>
      </c>
      <c r="P21" s="3">
        <v>1</v>
      </c>
    </row>
    <row r="22" spans="1:16">
      <c r="A22" s="3">
        <v>5</v>
      </c>
      <c r="B22" s="3">
        <v>2080</v>
      </c>
      <c r="C22" s="3">
        <v>2080</v>
      </c>
      <c r="D22" s="3">
        <v>50</v>
      </c>
      <c r="E22" s="3">
        <v>50</v>
      </c>
      <c r="F22" s="3">
        <v>50</v>
      </c>
      <c r="G22" s="3">
        <v>50</v>
      </c>
      <c r="H22" s="3">
        <v>50</v>
      </c>
      <c r="I22" s="3">
        <v>50</v>
      </c>
      <c r="J22" s="3">
        <v>50</v>
      </c>
      <c r="K22" s="3">
        <v>50</v>
      </c>
      <c r="L22" s="3">
        <v>50</v>
      </c>
      <c r="M22" s="3">
        <v>50</v>
      </c>
      <c r="N22" s="3">
        <v>0</v>
      </c>
      <c r="O22" s="3">
        <v>2080</v>
      </c>
      <c r="P22" s="3">
        <v>1</v>
      </c>
    </row>
    <row r="23" spans="1:16">
      <c r="A23" s="3">
        <v>6</v>
      </c>
      <c r="B23" s="3">
        <v>2120</v>
      </c>
      <c r="C23" s="3">
        <v>2120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26</v>
      </c>
      <c r="N23" s="3">
        <v>0</v>
      </c>
      <c r="O23" s="3">
        <v>2120</v>
      </c>
      <c r="P23" s="3">
        <v>1</v>
      </c>
    </row>
    <row r="24" spans="1:16">
      <c r="A24" s="3">
        <v>6.3</v>
      </c>
      <c r="B24" s="3">
        <v>2160</v>
      </c>
      <c r="C24" s="3">
        <v>2160</v>
      </c>
      <c r="D24" s="3">
        <v>20</v>
      </c>
      <c r="E24" s="3">
        <v>20</v>
      </c>
      <c r="F24" s="3">
        <v>20</v>
      </c>
      <c r="G24" s="3">
        <v>20</v>
      </c>
      <c r="H24" s="3">
        <v>20</v>
      </c>
      <c r="I24" s="3">
        <v>20</v>
      </c>
      <c r="J24" s="3">
        <v>20</v>
      </c>
      <c r="K24" s="3">
        <v>20</v>
      </c>
      <c r="L24" s="3">
        <v>20</v>
      </c>
      <c r="M24" s="3">
        <v>0</v>
      </c>
      <c r="N24" s="3">
        <v>0</v>
      </c>
      <c r="O24" s="3">
        <v>2160</v>
      </c>
      <c r="P24" s="3">
        <v>1</v>
      </c>
    </row>
    <row r="25" spans="1:16">
      <c r="A25" s="3">
        <v>6.5</v>
      </c>
      <c r="B25" s="3">
        <v>2200</v>
      </c>
      <c r="C25" s="3">
        <v>2200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0</v>
      </c>
      <c r="N25" s="3">
        <v>0</v>
      </c>
      <c r="O25" s="3">
        <v>2200</v>
      </c>
      <c r="P25" s="3">
        <v>1</v>
      </c>
    </row>
    <row r="26" spans="1:16">
      <c r="A26" s="3">
        <v>7</v>
      </c>
      <c r="B26" s="3">
        <v>2240</v>
      </c>
      <c r="C26" s="3">
        <v>2240</v>
      </c>
      <c r="D26" s="3">
        <v>20</v>
      </c>
      <c r="E26" s="3">
        <v>20</v>
      </c>
      <c r="F26" s="3">
        <v>20</v>
      </c>
      <c r="G26" s="3">
        <v>20</v>
      </c>
      <c r="H26" s="3">
        <v>20</v>
      </c>
      <c r="I26" s="3">
        <v>20</v>
      </c>
      <c r="J26" s="3">
        <v>20</v>
      </c>
      <c r="K26" s="3">
        <v>20</v>
      </c>
      <c r="L26" s="3">
        <v>20</v>
      </c>
      <c r="M26" s="3">
        <v>0</v>
      </c>
      <c r="N26" s="3">
        <v>0</v>
      </c>
      <c r="O26" s="3">
        <v>2240</v>
      </c>
      <c r="P26" s="3">
        <v>1</v>
      </c>
    </row>
    <row r="27" spans="1:16">
      <c r="A27" s="3">
        <v>7.5</v>
      </c>
      <c r="B27" s="3">
        <v>2280</v>
      </c>
      <c r="C27" s="3">
        <v>2280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0</v>
      </c>
      <c r="N27" s="3">
        <v>0</v>
      </c>
      <c r="O27" s="3">
        <v>2280</v>
      </c>
      <c r="P27" s="3">
        <v>1</v>
      </c>
    </row>
    <row r="28" spans="1:16">
      <c r="A28" s="3">
        <v>8</v>
      </c>
      <c r="B28" s="3">
        <v>2320</v>
      </c>
      <c r="C28" s="3">
        <v>2320</v>
      </c>
      <c r="D28" s="3">
        <v>240</v>
      </c>
      <c r="E28" s="3">
        <v>240</v>
      </c>
      <c r="F28" s="3">
        <v>240</v>
      </c>
      <c r="G28" s="3">
        <v>240</v>
      </c>
      <c r="H28" s="3">
        <v>240</v>
      </c>
      <c r="I28" s="3">
        <v>240</v>
      </c>
      <c r="J28" s="3">
        <v>240</v>
      </c>
      <c r="K28" s="3">
        <v>240</v>
      </c>
      <c r="L28" s="3">
        <v>240</v>
      </c>
      <c r="M28" s="3">
        <v>0</v>
      </c>
      <c r="N28" s="3">
        <v>0</v>
      </c>
      <c r="O28" s="3">
        <v>2320</v>
      </c>
      <c r="P28" s="3">
        <v>1</v>
      </c>
    </row>
    <row r="29" spans="1:16">
      <c r="A29" s="3">
        <v>9</v>
      </c>
      <c r="B29" s="3">
        <v>2360</v>
      </c>
      <c r="C29" s="3">
        <v>2360</v>
      </c>
      <c r="D29" s="3">
        <v>60</v>
      </c>
      <c r="E29" s="3">
        <v>60</v>
      </c>
      <c r="F29" s="3">
        <v>60</v>
      </c>
      <c r="G29" s="3">
        <v>60</v>
      </c>
      <c r="H29" s="3">
        <v>60</v>
      </c>
      <c r="I29" s="3">
        <v>60</v>
      </c>
      <c r="J29" s="3">
        <v>60</v>
      </c>
      <c r="K29" s="3">
        <v>60</v>
      </c>
      <c r="L29" s="3">
        <v>60</v>
      </c>
      <c r="M29" s="3">
        <v>0</v>
      </c>
      <c r="N29" s="3">
        <v>0</v>
      </c>
      <c r="O29" s="3">
        <v>2360</v>
      </c>
      <c r="P29" s="3">
        <v>1</v>
      </c>
    </row>
    <row r="30" spans="1:16">
      <c r="A30" s="3">
        <v>10</v>
      </c>
      <c r="B30" s="3">
        <v>2400</v>
      </c>
      <c r="C30" s="3">
        <v>2400</v>
      </c>
      <c r="D30" s="3">
        <v>240</v>
      </c>
      <c r="E30" s="3">
        <v>240</v>
      </c>
      <c r="F30" s="3">
        <v>240</v>
      </c>
      <c r="G30" s="3">
        <v>240</v>
      </c>
      <c r="H30" s="3">
        <v>240</v>
      </c>
      <c r="I30" s="3">
        <v>240</v>
      </c>
      <c r="J30" s="3">
        <v>240</v>
      </c>
      <c r="K30" s="3">
        <v>240</v>
      </c>
      <c r="L30" s="3">
        <v>150</v>
      </c>
      <c r="M30" s="3">
        <v>0</v>
      </c>
      <c r="N30" s="3">
        <v>0</v>
      </c>
      <c r="O30" s="3">
        <v>2400</v>
      </c>
      <c r="P30" s="3">
        <v>1</v>
      </c>
    </row>
    <row r="31" spans="1:16">
      <c r="A31" s="3">
        <v>10.3</v>
      </c>
      <c r="B31" s="3">
        <v>2440</v>
      </c>
      <c r="C31" s="3">
        <v>2440</v>
      </c>
      <c r="D31" s="3">
        <v>110</v>
      </c>
      <c r="E31" s="3">
        <v>110</v>
      </c>
      <c r="F31" s="3">
        <v>110</v>
      </c>
      <c r="G31" s="3">
        <v>110</v>
      </c>
      <c r="H31" s="3">
        <v>110</v>
      </c>
      <c r="I31" s="3">
        <v>110</v>
      </c>
      <c r="J31" s="3">
        <v>110</v>
      </c>
      <c r="K31" s="3">
        <v>110</v>
      </c>
      <c r="L31" s="3">
        <v>0</v>
      </c>
      <c r="M31" s="3">
        <v>0</v>
      </c>
      <c r="N31" s="3">
        <v>0</v>
      </c>
      <c r="O31" s="3">
        <v>2440</v>
      </c>
      <c r="P31" s="3">
        <v>1</v>
      </c>
    </row>
    <row r="32" spans="1:16">
      <c r="A32" s="3">
        <v>10.5</v>
      </c>
      <c r="B32" s="3">
        <v>2480</v>
      </c>
      <c r="C32" s="3">
        <v>2480</v>
      </c>
      <c r="D32" s="3">
        <v>90</v>
      </c>
      <c r="E32" s="3">
        <v>90</v>
      </c>
      <c r="F32" s="3">
        <v>90</v>
      </c>
      <c r="G32" s="3">
        <v>90</v>
      </c>
      <c r="H32" s="3">
        <v>90</v>
      </c>
      <c r="I32" s="3">
        <v>90</v>
      </c>
      <c r="J32" s="3">
        <v>90</v>
      </c>
      <c r="K32" s="3">
        <v>90</v>
      </c>
      <c r="L32" s="3">
        <v>0</v>
      </c>
      <c r="M32" s="3">
        <v>0</v>
      </c>
      <c r="N32" s="3">
        <v>0</v>
      </c>
      <c r="O32" s="3">
        <v>2480</v>
      </c>
      <c r="P32" s="3">
        <v>1</v>
      </c>
    </row>
    <row r="33" spans="1:16">
      <c r="A33" s="3">
        <v>10.6</v>
      </c>
      <c r="B33" s="3">
        <v>2520</v>
      </c>
      <c r="C33" s="3">
        <v>2520</v>
      </c>
      <c r="D33" s="3">
        <v>40</v>
      </c>
      <c r="E33" s="3">
        <v>40</v>
      </c>
      <c r="F33" s="3">
        <v>40</v>
      </c>
      <c r="G33" s="3">
        <v>40</v>
      </c>
      <c r="H33" s="3">
        <v>40</v>
      </c>
      <c r="I33" s="3">
        <v>40</v>
      </c>
      <c r="J33" s="3">
        <v>40</v>
      </c>
      <c r="K33" s="3">
        <v>40</v>
      </c>
      <c r="L33" s="3">
        <v>0</v>
      </c>
      <c r="M33" s="3">
        <v>0</v>
      </c>
      <c r="N33" s="3">
        <v>0</v>
      </c>
      <c r="O33" s="3">
        <v>2520</v>
      </c>
      <c r="P33" s="3">
        <v>1</v>
      </c>
    </row>
    <row r="34" spans="1:16">
      <c r="A34" s="3">
        <v>10.8</v>
      </c>
      <c r="B34" s="3">
        <v>2560</v>
      </c>
      <c r="C34" s="3">
        <v>2560</v>
      </c>
      <c r="D34" s="3">
        <v>10</v>
      </c>
      <c r="E34" s="3">
        <v>10</v>
      </c>
      <c r="F34" s="3">
        <v>10</v>
      </c>
      <c r="G34" s="3">
        <v>10</v>
      </c>
      <c r="H34" s="3">
        <v>10</v>
      </c>
      <c r="I34" s="3">
        <v>10</v>
      </c>
      <c r="J34" s="3">
        <v>10</v>
      </c>
      <c r="K34" s="3">
        <v>10</v>
      </c>
      <c r="L34" s="3">
        <v>0</v>
      </c>
      <c r="M34" s="3">
        <v>0</v>
      </c>
      <c r="N34" s="3">
        <v>0</v>
      </c>
      <c r="O34" s="3">
        <v>2560</v>
      </c>
      <c r="P34" s="3">
        <v>1</v>
      </c>
    </row>
    <row r="35" spans="1:16">
      <c r="A35" s="3">
        <v>11</v>
      </c>
      <c r="B35" s="3">
        <v>2600</v>
      </c>
      <c r="C35" s="3">
        <v>2600</v>
      </c>
      <c r="D35" s="3">
        <v>220</v>
      </c>
      <c r="E35" s="3">
        <v>220</v>
      </c>
      <c r="F35" s="3">
        <v>220</v>
      </c>
      <c r="G35" s="3">
        <v>220</v>
      </c>
      <c r="H35" s="3">
        <v>220</v>
      </c>
      <c r="I35" s="3">
        <v>220</v>
      </c>
      <c r="J35" s="3">
        <v>220</v>
      </c>
      <c r="K35" s="3">
        <v>220</v>
      </c>
      <c r="L35" s="3">
        <v>0</v>
      </c>
      <c r="M35" s="3">
        <v>0</v>
      </c>
      <c r="N35" s="3">
        <v>0</v>
      </c>
      <c r="O35" s="3">
        <v>2600</v>
      </c>
      <c r="P35" s="3">
        <v>1</v>
      </c>
    </row>
    <row r="36" spans="1:16">
      <c r="A36" s="3">
        <v>11.2</v>
      </c>
      <c r="B36" s="3">
        <v>2640</v>
      </c>
      <c r="C36" s="3">
        <v>2640</v>
      </c>
      <c r="D36" s="3">
        <v>30</v>
      </c>
      <c r="E36" s="3">
        <v>30</v>
      </c>
      <c r="F36" s="3">
        <v>30</v>
      </c>
      <c r="G36" s="3">
        <v>30</v>
      </c>
      <c r="H36" s="3">
        <v>30</v>
      </c>
      <c r="I36" s="3">
        <v>30</v>
      </c>
      <c r="J36" s="3">
        <v>30</v>
      </c>
      <c r="K36" s="3">
        <v>30</v>
      </c>
      <c r="L36" s="3">
        <v>0</v>
      </c>
      <c r="M36" s="3">
        <v>0</v>
      </c>
      <c r="N36" s="3">
        <v>0</v>
      </c>
      <c r="O36" s="3">
        <v>2640</v>
      </c>
      <c r="P36" s="3">
        <v>1</v>
      </c>
    </row>
    <row r="37" spans="1:16">
      <c r="A37" s="3">
        <v>11.5</v>
      </c>
      <c r="B37" s="3">
        <v>2680</v>
      </c>
      <c r="C37" s="3">
        <v>2680</v>
      </c>
      <c r="D37" s="3">
        <v>40</v>
      </c>
      <c r="E37" s="3">
        <v>40</v>
      </c>
      <c r="F37" s="3">
        <v>40</v>
      </c>
      <c r="G37" s="3">
        <v>40</v>
      </c>
      <c r="H37" s="3">
        <v>40</v>
      </c>
      <c r="I37" s="3">
        <v>40</v>
      </c>
      <c r="J37" s="3">
        <v>40</v>
      </c>
      <c r="K37" s="3">
        <v>40</v>
      </c>
      <c r="L37" s="3">
        <v>0</v>
      </c>
      <c r="M37" s="3">
        <v>0</v>
      </c>
      <c r="N37" s="3">
        <v>0</v>
      </c>
      <c r="O37" s="3">
        <v>2680</v>
      </c>
      <c r="P37" s="3">
        <v>1</v>
      </c>
    </row>
    <row r="38" spans="1:16">
      <c r="A38" s="3">
        <v>11.8</v>
      </c>
      <c r="B38" s="3">
        <v>2720</v>
      </c>
      <c r="C38" s="3">
        <v>2720</v>
      </c>
      <c r="D38" s="3">
        <v>10</v>
      </c>
      <c r="E38" s="3">
        <v>10</v>
      </c>
      <c r="F38" s="3">
        <v>10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0</v>
      </c>
      <c r="M38" s="3">
        <v>0</v>
      </c>
      <c r="N38" s="3">
        <v>0</v>
      </c>
      <c r="O38" s="3">
        <v>2720</v>
      </c>
      <c r="P38" s="3">
        <v>1</v>
      </c>
    </row>
    <row r="39" spans="1:16">
      <c r="A39" s="3">
        <v>12</v>
      </c>
      <c r="B39" s="3">
        <v>2760</v>
      </c>
      <c r="C39" s="3">
        <v>2760</v>
      </c>
      <c r="D39" s="3">
        <v>210</v>
      </c>
      <c r="E39" s="3">
        <v>210</v>
      </c>
      <c r="F39" s="3">
        <v>210</v>
      </c>
      <c r="G39" s="3">
        <v>210</v>
      </c>
      <c r="H39" s="3">
        <v>210</v>
      </c>
      <c r="I39" s="3">
        <v>210</v>
      </c>
      <c r="J39" s="3">
        <v>210</v>
      </c>
      <c r="K39" s="3">
        <v>210</v>
      </c>
      <c r="L39" s="3">
        <v>0</v>
      </c>
      <c r="M39" s="3">
        <v>0</v>
      </c>
      <c r="N39" s="3">
        <v>0</v>
      </c>
      <c r="O39" s="3">
        <v>2760</v>
      </c>
      <c r="P39" s="3">
        <v>1</v>
      </c>
    </row>
    <row r="40" spans="1:16">
      <c r="A40" s="3">
        <v>12.3</v>
      </c>
      <c r="B40" s="3">
        <v>2800</v>
      </c>
      <c r="C40" s="3">
        <v>2800</v>
      </c>
      <c r="D40" s="3">
        <v>20</v>
      </c>
      <c r="E40" s="3">
        <v>20</v>
      </c>
      <c r="F40" s="3">
        <v>20</v>
      </c>
      <c r="G40" s="3">
        <v>20</v>
      </c>
      <c r="H40" s="3">
        <v>20</v>
      </c>
      <c r="I40" s="3">
        <v>20</v>
      </c>
      <c r="J40" s="3">
        <v>20</v>
      </c>
      <c r="K40" s="3">
        <v>20</v>
      </c>
      <c r="L40" s="3">
        <v>0</v>
      </c>
      <c r="M40" s="3">
        <v>0</v>
      </c>
      <c r="N40" s="3">
        <v>0</v>
      </c>
      <c r="O40" s="3">
        <v>2800</v>
      </c>
      <c r="P40" s="3">
        <v>1</v>
      </c>
    </row>
    <row r="41" spans="1:16">
      <c r="A41" s="3">
        <v>12.5</v>
      </c>
      <c r="B41" s="3">
        <v>2840</v>
      </c>
      <c r="C41" s="3">
        <v>2840</v>
      </c>
      <c r="D41" s="3">
        <v>10</v>
      </c>
      <c r="E41" s="3">
        <v>10</v>
      </c>
      <c r="F41" s="3">
        <v>10</v>
      </c>
      <c r="G41" s="3">
        <v>10</v>
      </c>
      <c r="H41" s="3">
        <v>10</v>
      </c>
      <c r="I41" s="3">
        <v>10</v>
      </c>
      <c r="J41" s="3">
        <v>10</v>
      </c>
      <c r="K41" s="3">
        <v>10</v>
      </c>
      <c r="L41" s="3">
        <v>0</v>
      </c>
      <c r="M41" s="3">
        <v>0</v>
      </c>
      <c r="N41" s="3">
        <v>0</v>
      </c>
      <c r="O41" s="3">
        <v>2840</v>
      </c>
      <c r="P41" s="3">
        <v>1</v>
      </c>
    </row>
    <row r="42" spans="1:16">
      <c r="A42" s="3">
        <v>12.7</v>
      </c>
      <c r="B42" s="3">
        <v>2880</v>
      </c>
      <c r="C42" s="3">
        <v>2880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0</v>
      </c>
      <c r="M42" s="3">
        <v>0</v>
      </c>
      <c r="N42" s="3">
        <v>0</v>
      </c>
      <c r="O42" s="3">
        <v>2880</v>
      </c>
      <c r="P42" s="3">
        <v>1</v>
      </c>
    </row>
    <row r="43" spans="1:16">
      <c r="A43" s="3">
        <v>13</v>
      </c>
      <c r="B43" s="3">
        <v>2920</v>
      </c>
      <c r="C43" s="3">
        <v>2920</v>
      </c>
      <c r="D43" s="3">
        <v>50</v>
      </c>
      <c r="E43" s="3">
        <v>50</v>
      </c>
      <c r="F43" s="3">
        <v>50</v>
      </c>
      <c r="G43" s="3">
        <v>50</v>
      </c>
      <c r="H43" s="3">
        <v>50</v>
      </c>
      <c r="I43" s="3">
        <v>50</v>
      </c>
      <c r="J43" s="3">
        <v>50</v>
      </c>
      <c r="K43" s="3">
        <v>50</v>
      </c>
      <c r="L43" s="3">
        <v>0</v>
      </c>
      <c r="M43" s="3">
        <v>0</v>
      </c>
      <c r="N43" s="3">
        <v>0</v>
      </c>
      <c r="O43" s="3">
        <v>2920</v>
      </c>
      <c r="P43" s="3">
        <v>1</v>
      </c>
    </row>
    <row r="44" spans="1:16">
      <c r="A44" s="3">
        <v>13.2</v>
      </c>
      <c r="B44" s="3">
        <v>2960</v>
      </c>
      <c r="C44" s="3">
        <v>2960</v>
      </c>
      <c r="D44" s="3">
        <v>10</v>
      </c>
      <c r="E44" s="3">
        <v>10</v>
      </c>
      <c r="F44" s="3">
        <v>10</v>
      </c>
      <c r="G44" s="3">
        <v>10</v>
      </c>
      <c r="H44" s="3">
        <v>10</v>
      </c>
      <c r="I44" s="3">
        <v>10</v>
      </c>
      <c r="J44" s="3">
        <v>10</v>
      </c>
      <c r="K44" s="3">
        <v>10</v>
      </c>
      <c r="L44" s="3">
        <v>0</v>
      </c>
      <c r="M44" s="3">
        <v>0</v>
      </c>
      <c r="N44" s="3">
        <v>0</v>
      </c>
      <c r="O44" s="3">
        <v>2960</v>
      </c>
      <c r="P44" s="3">
        <v>1</v>
      </c>
    </row>
    <row r="45" spans="1:16">
      <c r="A45" s="3">
        <v>14</v>
      </c>
      <c r="B45" s="3">
        <v>3000</v>
      </c>
      <c r="C45" s="3">
        <v>3000</v>
      </c>
      <c r="D45" s="3">
        <v>60</v>
      </c>
      <c r="E45" s="3">
        <v>60</v>
      </c>
      <c r="F45" s="3">
        <v>60</v>
      </c>
      <c r="G45" s="3">
        <v>60</v>
      </c>
      <c r="H45" s="3">
        <v>60</v>
      </c>
      <c r="I45" s="3">
        <v>60</v>
      </c>
      <c r="J45" s="3">
        <v>60</v>
      </c>
      <c r="K45" s="3">
        <v>60</v>
      </c>
      <c r="L45" s="3">
        <v>0</v>
      </c>
      <c r="M45" s="3">
        <v>0</v>
      </c>
      <c r="N45" s="3">
        <v>0</v>
      </c>
      <c r="O45" s="3">
        <v>3000</v>
      </c>
      <c r="P45" s="3">
        <v>1</v>
      </c>
    </row>
    <row r="46" spans="1:16">
      <c r="A46" s="3">
        <v>14.5</v>
      </c>
      <c r="B46" s="3">
        <v>3040</v>
      </c>
      <c r="C46" s="3">
        <v>3040</v>
      </c>
      <c r="D46" s="3">
        <v>10</v>
      </c>
      <c r="E46" s="3">
        <v>10</v>
      </c>
      <c r="F46" s="3">
        <v>10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0</v>
      </c>
      <c r="M46" s="3">
        <v>0</v>
      </c>
      <c r="N46" s="3">
        <v>0</v>
      </c>
      <c r="O46" s="3">
        <v>3040</v>
      </c>
      <c r="P46" s="3">
        <v>1</v>
      </c>
    </row>
    <row r="47" spans="1:16">
      <c r="A47" s="3">
        <v>15</v>
      </c>
      <c r="B47" s="3">
        <v>3080</v>
      </c>
      <c r="C47" s="3">
        <v>3080</v>
      </c>
      <c r="D47" s="3">
        <v>70</v>
      </c>
      <c r="E47" s="3">
        <v>70</v>
      </c>
      <c r="F47" s="3">
        <v>70</v>
      </c>
      <c r="G47" s="3">
        <v>70</v>
      </c>
      <c r="H47" s="3">
        <v>70</v>
      </c>
      <c r="I47" s="3">
        <v>70</v>
      </c>
      <c r="J47" s="3">
        <v>70</v>
      </c>
      <c r="K47" s="3">
        <v>70</v>
      </c>
      <c r="L47" s="3">
        <v>0</v>
      </c>
      <c r="M47" s="3">
        <v>0</v>
      </c>
      <c r="N47" s="3">
        <v>0</v>
      </c>
      <c r="O47" s="3">
        <v>3080</v>
      </c>
      <c r="P47" s="3">
        <v>1</v>
      </c>
    </row>
    <row r="48" spans="1:16">
      <c r="A48" s="3">
        <v>15.3</v>
      </c>
      <c r="B48" s="3">
        <v>3120</v>
      </c>
      <c r="C48" s="3">
        <v>3120</v>
      </c>
      <c r="D48" s="3">
        <v>10</v>
      </c>
      <c r="E48" s="3">
        <v>10</v>
      </c>
      <c r="F48" s="3">
        <v>10</v>
      </c>
      <c r="G48" s="3">
        <v>10</v>
      </c>
      <c r="H48" s="3">
        <v>10</v>
      </c>
      <c r="I48" s="3">
        <v>10</v>
      </c>
      <c r="J48" s="3">
        <v>10</v>
      </c>
      <c r="K48" s="3">
        <v>10</v>
      </c>
      <c r="L48" s="3">
        <v>0</v>
      </c>
      <c r="M48" s="3">
        <v>0</v>
      </c>
      <c r="N48" s="3">
        <v>0</v>
      </c>
      <c r="O48" s="3">
        <v>3120</v>
      </c>
      <c r="P48" s="3">
        <v>1</v>
      </c>
    </row>
    <row r="49" spans="1:16">
      <c r="A49" s="3">
        <v>16</v>
      </c>
      <c r="B49" s="3">
        <v>3160</v>
      </c>
      <c r="C49" s="3">
        <v>3160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0</v>
      </c>
      <c r="N49" s="3">
        <v>0</v>
      </c>
      <c r="O49" s="3">
        <v>3160</v>
      </c>
      <c r="P49" s="3">
        <v>1</v>
      </c>
    </row>
    <row r="50" spans="1:16">
      <c r="A50" s="3">
        <v>17</v>
      </c>
      <c r="B50" s="3">
        <v>3200</v>
      </c>
      <c r="C50" s="3">
        <v>3200</v>
      </c>
      <c r="D50" s="3">
        <v>10</v>
      </c>
      <c r="E50" s="3">
        <v>10</v>
      </c>
      <c r="F50" s="3">
        <v>10</v>
      </c>
      <c r="G50" s="3">
        <v>10</v>
      </c>
      <c r="H50" s="3">
        <v>10</v>
      </c>
      <c r="I50" s="3">
        <v>10</v>
      </c>
      <c r="J50" s="3">
        <v>10</v>
      </c>
      <c r="K50" s="3">
        <v>10</v>
      </c>
      <c r="L50" s="3">
        <v>0</v>
      </c>
      <c r="M50" s="3">
        <v>0</v>
      </c>
      <c r="N50" s="3">
        <v>0</v>
      </c>
      <c r="O50" s="3">
        <v>3200</v>
      </c>
      <c r="P50" s="3">
        <v>1</v>
      </c>
    </row>
    <row r="51" spans="1:16">
      <c r="A51" s="3">
        <v>18</v>
      </c>
      <c r="B51" s="3">
        <v>3240</v>
      </c>
      <c r="C51" s="3">
        <v>3240</v>
      </c>
      <c r="D51" s="3">
        <v>170</v>
      </c>
      <c r="E51" s="3">
        <v>170</v>
      </c>
      <c r="F51" s="3">
        <v>170</v>
      </c>
      <c r="G51" s="3">
        <v>170</v>
      </c>
      <c r="H51" s="3">
        <v>170</v>
      </c>
      <c r="I51" s="3">
        <v>170</v>
      </c>
      <c r="J51" s="3">
        <v>170</v>
      </c>
      <c r="K51" s="3">
        <v>103</v>
      </c>
      <c r="L51" s="3">
        <v>0</v>
      </c>
      <c r="M51" s="3">
        <v>0</v>
      </c>
      <c r="N51" s="3">
        <v>0</v>
      </c>
      <c r="O51" s="3">
        <v>3240</v>
      </c>
      <c r="P51" s="3">
        <v>1</v>
      </c>
    </row>
    <row r="52" spans="1:16">
      <c r="A52" s="3">
        <v>18.5</v>
      </c>
      <c r="B52" s="3">
        <v>3280</v>
      </c>
      <c r="C52" s="3">
        <v>3280</v>
      </c>
      <c r="D52" s="3">
        <v>11</v>
      </c>
      <c r="E52" s="3">
        <v>11</v>
      </c>
      <c r="F52" s="3">
        <v>11</v>
      </c>
      <c r="G52" s="3">
        <v>11</v>
      </c>
      <c r="H52" s="3">
        <v>11</v>
      </c>
      <c r="I52" s="3">
        <v>11</v>
      </c>
      <c r="J52" s="3">
        <v>11</v>
      </c>
      <c r="K52" s="3">
        <v>0</v>
      </c>
      <c r="L52" s="3">
        <v>0</v>
      </c>
      <c r="M52" s="3">
        <v>0</v>
      </c>
      <c r="N52" s="3">
        <v>0</v>
      </c>
      <c r="O52" s="3">
        <v>3280</v>
      </c>
      <c r="P52" s="3">
        <v>1</v>
      </c>
    </row>
    <row r="53" spans="1:16">
      <c r="A53" s="3">
        <v>19</v>
      </c>
      <c r="B53" s="3">
        <v>3320</v>
      </c>
      <c r="C53" s="3">
        <v>3320</v>
      </c>
      <c r="D53" s="3">
        <v>30</v>
      </c>
      <c r="E53" s="3">
        <v>30</v>
      </c>
      <c r="F53" s="3">
        <v>30</v>
      </c>
      <c r="G53" s="3">
        <v>30</v>
      </c>
      <c r="H53" s="3">
        <v>30</v>
      </c>
      <c r="I53" s="3">
        <v>30</v>
      </c>
      <c r="J53" s="3">
        <v>30</v>
      </c>
      <c r="K53" s="3">
        <v>0</v>
      </c>
      <c r="L53" s="3">
        <v>0</v>
      </c>
      <c r="M53" s="3">
        <v>0</v>
      </c>
      <c r="N53" s="3">
        <v>0</v>
      </c>
      <c r="O53" s="3">
        <v>3320</v>
      </c>
      <c r="P53" s="3">
        <v>1</v>
      </c>
    </row>
    <row r="54" spans="1:16">
      <c r="A54" s="3">
        <v>20</v>
      </c>
      <c r="B54" s="3">
        <v>3360</v>
      </c>
      <c r="C54" s="3">
        <v>3360</v>
      </c>
      <c r="D54" s="3">
        <v>670</v>
      </c>
      <c r="E54" s="3">
        <v>670</v>
      </c>
      <c r="F54" s="3">
        <v>670</v>
      </c>
      <c r="G54" s="3">
        <v>670</v>
      </c>
      <c r="H54" s="3">
        <v>670</v>
      </c>
      <c r="I54" s="3">
        <v>670</v>
      </c>
      <c r="J54" s="3">
        <v>670</v>
      </c>
      <c r="K54" s="3">
        <v>0</v>
      </c>
      <c r="L54" s="3">
        <v>0</v>
      </c>
      <c r="M54" s="3">
        <v>0</v>
      </c>
      <c r="N54" s="3">
        <v>0</v>
      </c>
      <c r="O54" s="3">
        <v>3360</v>
      </c>
      <c r="P54" s="3">
        <v>1</v>
      </c>
    </row>
    <row r="55" spans="1:16">
      <c r="A55" s="3">
        <v>20.3</v>
      </c>
      <c r="B55" s="3">
        <v>3400</v>
      </c>
      <c r="C55" s="3">
        <v>3400</v>
      </c>
      <c r="D55" s="3">
        <v>50</v>
      </c>
      <c r="E55" s="3">
        <v>50</v>
      </c>
      <c r="F55" s="3">
        <v>50</v>
      </c>
      <c r="G55" s="3">
        <v>50</v>
      </c>
      <c r="H55" s="3">
        <v>50</v>
      </c>
      <c r="I55" s="3">
        <v>50</v>
      </c>
      <c r="J55" s="3">
        <v>50</v>
      </c>
      <c r="K55" s="3">
        <v>0</v>
      </c>
      <c r="L55" s="3">
        <v>0</v>
      </c>
      <c r="M55" s="3">
        <v>0</v>
      </c>
      <c r="N55" s="3">
        <v>0</v>
      </c>
      <c r="O55" s="3">
        <v>3400</v>
      </c>
      <c r="P55" s="3">
        <v>1</v>
      </c>
    </row>
    <row r="56" spans="1:16">
      <c r="A56" s="3">
        <v>20.5</v>
      </c>
      <c r="B56" s="3">
        <v>3440</v>
      </c>
      <c r="C56" s="3">
        <v>3440</v>
      </c>
      <c r="D56" s="3">
        <v>60</v>
      </c>
      <c r="E56" s="3">
        <v>60</v>
      </c>
      <c r="F56" s="3">
        <v>60</v>
      </c>
      <c r="G56" s="3">
        <v>60</v>
      </c>
      <c r="H56" s="3">
        <v>60</v>
      </c>
      <c r="I56" s="3">
        <v>60</v>
      </c>
      <c r="J56" s="3">
        <v>60</v>
      </c>
      <c r="K56" s="3">
        <v>0</v>
      </c>
      <c r="L56" s="3">
        <v>0</v>
      </c>
      <c r="M56" s="3">
        <v>0</v>
      </c>
      <c r="N56" s="3">
        <v>0</v>
      </c>
      <c r="O56" s="3">
        <v>3440</v>
      </c>
      <c r="P56" s="3">
        <v>1</v>
      </c>
    </row>
    <row r="57" spans="1:16">
      <c r="A57" s="3">
        <v>20.6</v>
      </c>
      <c r="B57" s="3">
        <v>3480</v>
      </c>
      <c r="C57" s="3">
        <v>3480</v>
      </c>
      <c r="D57" s="3">
        <v>10</v>
      </c>
      <c r="E57" s="3">
        <v>10</v>
      </c>
      <c r="F57" s="3">
        <v>10</v>
      </c>
      <c r="G57" s="3">
        <v>10</v>
      </c>
      <c r="H57" s="3">
        <v>10</v>
      </c>
      <c r="I57" s="3">
        <v>10</v>
      </c>
      <c r="J57" s="3">
        <v>10</v>
      </c>
      <c r="K57" s="3">
        <v>0</v>
      </c>
      <c r="L57" s="3">
        <v>0</v>
      </c>
      <c r="M57" s="3">
        <v>0</v>
      </c>
      <c r="N57" s="3">
        <v>0</v>
      </c>
      <c r="O57" s="3">
        <v>3480</v>
      </c>
      <c r="P57" s="3">
        <v>1</v>
      </c>
    </row>
    <row r="58" spans="1:16">
      <c r="A58" s="3">
        <v>21</v>
      </c>
      <c r="B58" s="3">
        <v>3520</v>
      </c>
      <c r="C58" s="3">
        <v>3520</v>
      </c>
      <c r="D58" s="3">
        <v>20</v>
      </c>
      <c r="E58" s="3">
        <v>20</v>
      </c>
      <c r="F58" s="3">
        <v>20</v>
      </c>
      <c r="G58" s="3">
        <v>20</v>
      </c>
      <c r="H58" s="3">
        <v>20</v>
      </c>
      <c r="I58" s="3">
        <v>20</v>
      </c>
      <c r="J58" s="3">
        <v>20</v>
      </c>
      <c r="K58" s="3">
        <v>0</v>
      </c>
      <c r="L58" s="3">
        <v>0</v>
      </c>
      <c r="M58" s="3">
        <v>0</v>
      </c>
      <c r="N58" s="3">
        <v>0</v>
      </c>
      <c r="O58" s="3">
        <v>3520</v>
      </c>
      <c r="P58" s="3">
        <v>1</v>
      </c>
    </row>
    <row r="59" spans="1:16">
      <c r="A59" s="3">
        <v>21.5</v>
      </c>
      <c r="B59" s="3">
        <v>3560</v>
      </c>
      <c r="C59" s="3">
        <v>3560</v>
      </c>
      <c r="D59" s="3">
        <v>10</v>
      </c>
      <c r="E59" s="3">
        <v>10</v>
      </c>
      <c r="F59" s="3">
        <v>10</v>
      </c>
      <c r="G59" s="3">
        <v>10</v>
      </c>
      <c r="H59" s="3">
        <v>10</v>
      </c>
      <c r="I59" s="3">
        <v>10</v>
      </c>
      <c r="J59" s="3">
        <v>10</v>
      </c>
      <c r="K59" s="3">
        <v>0</v>
      </c>
      <c r="L59" s="3">
        <v>0</v>
      </c>
      <c r="M59" s="3">
        <v>0</v>
      </c>
      <c r="N59" s="3">
        <v>0</v>
      </c>
      <c r="O59" s="3">
        <v>3560</v>
      </c>
      <c r="P59" s="3">
        <v>1</v>
      </c>
    </row>
    <row r="60" spans="1:16">
      <c r="A60" s="3">
        <v>21.8</v>
      </c>
      <c r="B60" s="3">
        <v>3600</v>
      </c>
      <c r="C60" s="3">
        <v>3600</v>
      </c>
      <c r="D60" s="3">
        <v>10</v>
      </c>
      <c r="E60" s="3">
        <v>10</v>
      </c>
      <c r="F60" s="3">
        <v>10</v>
      </c>
      <c r="G60" s="3">
        <v>10</v>
      </c>
      <c r="H60" s="3">
        <v>10</v>
      </c>
      <c r="I60" s="3">
        <v>10</v>
      </c>
      <c r="J60" s="3">
        <v>10</v>
      </c>
      <c r="K60" s="3">
        <v>0</v>
      </c>
      <c r="L60" s="3">
        <v>0</v>
      </c>
      <c r="M60" s="3">
        <v>0</v>
      </c>
      <c r="N60" s="3">
        <v>0</v>
      </c>
      <c r="O60" s="3">
        <v>3600</v>
      </c>
      <c r="P60" s="3">
        <v>1</v>
      </c>
    </row>
    <row r="61" spans="1:16">
      <c r="A61" s="3">
        <v>22</v>
      </c>
      <c r="B61" s="3">
        <v>3640</v>
      </c>
      <c r="C61" s="3">
        <v>3640</v>
      </c>
      <c r="D61" s="3">
        <v>60</v>
      </c>
      <c r="E61" s="3">
        <v>60</v>
      </c>
      <c r="F61" s="3">
        <v>60</v>
      </c>
      <c r="G61" s="3">
        <v>60</v>
      </c>
      <c r="H61" s="3">
        <v>60</v>
      </c>
      <c r="I61" s="3">
        <v>60</v>
      </c>
      <c r="J61" s="3">
        <v>60</v>
      </c>
      <c r="K61" s="3">
        <v>0</v>
      </c>
      <c r="L61" s="3">
        <v>0</v>
      </c>
      <c r="M61" s="3">
        <v>0</v>
      </c>
      <c r="N61" s="3">
        <v>0</v>
      </c>
      <c r="O61" s="3">
        <v>3640</v>
      </c>
      <c r="P61" s="3">
        <v>1</v>
      </c>
    </row>
    <row r="62" spans="1:16">
      <c r="A62" s="3">
        <v>22.3</v>
      </c>
      <c r="B62" s="3">
        <v>3680</v>
      </c>
      <c r="C62" s="3">
        <v>3680</v>
      </c>
      <c r="D62" s="3">
        <v>10</v>
      </c>
      <c r="E62" s="3">
        <v>10</v>
      </c>
      <c r="F62" s="3">
        <v>10</v>
      </c>
      <c r="G62" s="3">
        <v>10</v>
      </c>
      <c r="H62" s="3">
        <v>10</v>
      </c>
      <c r="I62" s="3">
        <v>10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3680</v>
      </c>
      <c r="P62" s="3">
        <v>1</v>
      </c>
    </row>
    <row r="63" spans="1:16">
      <c r="A63" s="3">
        <v>22.4</v>
      </c>
      <c r="B63" s="3">
        <v>3720</v>
      </c>
      <c r="C63" s="3">
        <v>3720</v>
      </c>
      <c r="D63" s="3">
        <v>10</v>
      </c>
      <c r="E63" s="3">
        <v>10</v>
      </c>
      <c r="F63" s="3">
        <v>10</v>
      </c>
      <c r="G63" s="3">
        <v>10</v>
      </c>
      <c r="H63" s="3">
        <v>10</v>
      </c>
      <c r="I63" s="3">
        <v>10</v>
      </c>
      <c r="J63" s="3">
        <v>10</v>
      </c>
      <c r="K63" s="3">
        <v>0</v>
      </c>
      <c r="L63" s="3">
        <v>0</v>
      </c>
      <c r="M63" s="3">
        <v>0</v>
      </c>
      <c r="N63" s="3">
        <v>0</v>
      </c>
      <c r="O63" s="3">
        <v>3720</v>
      </c>
      <c r="P63" s="3">
        <v>1</v>
      </c>
    </row>
    <row r="64" spans="1:16">
      <c r="A64" s="3">
        <v>22.5</v>
      </c>
      <c r="B64" s="3">
        <v>3760</v>
      </c>
      <c r="C64" s="3">
        <v>3760</v>
      </c>
      <c r="D64" s="3">
        <v>30</v>
      </c>
      <c r="E64" s="3">
        <v>30</v>
      </c>
      <c r="F64" s="3">
        <v>30</v>
      </c>
      <c r="G64" s="3">
        <v>30</v>
      </c>
      <c r="H64" s="3">
        <v>30</v>
      </c>
      <c r="I64" s="3">
        <v>30</v>
      </c>
      <c r="J64" s="3">
        <v>30</v>
      </c>
      <c r="K64" s="3">
        <v>0</v>
      </c>
      <c r="L64" s="3">
        <v>0</v>
      </c>
      <c r="M64" s="3">
        <v>0</v>
      </c>
      <c r="N64" s="3">
        <v>0</v>
      </c>
      <c r="O64" s="3">
        <v>3760</v>
      </c>
      <c r="P64" s="3">
        <v>1</v>
      </c>
    </row>
    <row r="65" spans="1:16">
      <c r="A65" s="3">
        <v>22.8</v>
      </c>
      <c r="B65" s="3">
        <v>3800</v>
      </c>
      <c r="C65" s="3">
        <v>3800</v>
      </c>
      <c r="D65" s="3">
        <v>10</v>
      </c>
      <c r="E65" s="3">
        <v>10</v>
      </c>
      <c r="F65" s="3">
        <v>10</v>
      </c>
      <c r="G65" s="3">
        <v>10</v>
      </c>
      <c r="H65" s="3">
        <v>10</v>
      </c>
      <c r="I65" s="3">
        <v>10</v>
      </c>
      <c r="J65" s="3">
        <v>10</v>
      </c>
      <c r="K65" s="3">
        <v>0</v>
      </c>
      <c r="L65" s="3">
        <v>0</v>
      </c>
      <c r="M65" s="3">
        <v>0</v>
      </c>
      <c r="N65" s="3">
        <v>0</v>
      </c>
      <c r="O65" s="3">
        <v>3800</v>
      </c>
      <c r="P65" s="3">
        <v>1</v>
      </c>
    </row>
    <row r="66" spans="1:16">
      <c r="A66" s="3">
        <v>22.9</v>
      </c>
      <c r="B66" s="3">
        <v>3840</v>
      </c>
      <c r="C66" s="3">
        <v>3840</v>
      </c>
      <c r="D66" s="3">
        <v>10</v>
      </c>
      <c r="E66" s="3">
        <v>10</v>
      </c>
      <c r="F66" s="3">
        <v>10</v>
      </c>
      <c r="G66" s="3">
        <v>10</v>
      </c>
      <c r="H66" s="3">
        <v>10</v>
      </c>
      <c r="I66" s="3">
        <v>10</v>
      </c>
      <c r="J66" s="3">
        <v>10</v>
      </c>
      <c r="K66" s="3">
        <v>0</v>
      </c>
      <c r="L66" s="3">
        <v>0</v>
      </c>
      <c r="M66" s="3">
        <v>0</v>
      </c>
      <c r="N66" s="3">
        <v>0</v>
      </c>
      <c r="O66" s="3">
        <v>3840</v>
      </c>
      <c r="P66" s="3">
        <v>1</v>
      </c>
    </row>
    <row r="67" spans="1:16">
      <c r="A67" s="3">
        <v>23</v>
      </c>
      <c r="B67" s="3">
        <v>3880</v>
      </c>
      <c r="C67" s="3">
        <v>3880</v>
      </c>
      <c r="D67" s="3">
        <v>20</v>
      </c>
      <c r="E67" s="3">
        <v>20</v>
      </c>
      <c r="F67" s="3">
        <v>20</v>
      </c>
      <c r="G67" s="3">
        <v>20</v>
      </c>
      <c r="H67" s="3">
        <v>20</v>
      </c>
      <c r="I67" s="3">
        <v>20</v>
      </c>
      <c r="J67" s="3">
        <v>20</v>
      </c>
      <c r="K67" s="3">
        <v>0</v>
      </c>
      <c r="L67" s="3">
        <v>0</v>
      </c>
      <c r="M67" s="3">
        <v>0</v>
      </c>
      <c r="N67" s="3">
        <v>0</v>
      </c>
      <c r="O67" s="3">
        <v>3880</v>
      </c>
      <c r="P67" s="3">
        <v>1</v>
      </c>
    </row>
    <row r="68" spans="1:16">
      <c r="A68" s="3">
        <v>23.5</v>
      </c>
      <c r="B68" s="3">
        <v>3920</v>
      </c>
      <c r="C68" s="3">
        <v>3920</v>
      </c>
      <c r="D68" s="3">
        <v>10</v>
      </c>
      <c r="E68" s="3">
        <v>10</v>
      </c>
      <c r="F68" s="3">
        <v>10</v>
      </c>
      <c r="G68" s="3">
        <v>10</v>
      </c>
      <c r="H68" s="3">
        <v>10</v>
      </c>
      <c r="I68" s="3">
        <v>10</v>
      </c>
      <c r="J68" s="3">
        <v>10</v>
      </c>
      <c r="K68" s="3">
        <v>0</v>
      </c>
      <c r="L68" s="3">
        <v>0</v>
      </c>
      <c r="M68" s="3">
        <v>0</v>
      </c>
      <c r="N68" s="3">
        <v>0</v>
      </c>
      <c r="O68" s="3">
        <v>3920</v>
      </c>
      <c r="P68" s="3">
        <v>1</v>
      </c>
    </row>
    <row r="69" spans="1:16">
      <c r="A69" s="3">
        <v>23.7</v>
      </c>
      <c r="B69" s="3">
        <v>3960</v>
      </c>
      <c r="C69" s="3">
        <v>3960</v>
      </c>
      <c r="D69" s="3">
        <v>10</v>
      </c>
      <c r="E69" s="3">
        <v>10</v>
      </c>
      <c r="F69" s="3">
        <v>10</v>
      </c>
      <c r="G69" s="3">
        <v>10</v>
      </c>
      <c r="H69" s="3">
        <v>10</v>
      </c>
      <c r="I69" s="3">
        <v>10</v>
      </c>
      <c r="J69" s="3">
        <v>10</v>
      </c>
      <c r="K69" s="3">
        <v>0</v>
      </c>
      <c r="L69" s="3">
        <v>0</v>
      </c>
      <c r="M69" s="3">
        <v>0</v>
      </c>
      <c r="N69" s="3">
        <v>0</v>
      </c>
      <c r="O69" s="3">
        <v>3960</v>
      </c>
      <c r="P69" s="3">
        <v>1</v>
      </c>
    </row>
    <row r="70" spans="1:16">
      <c r="A70" s="3">
        <v>24</v>
      </c>
      <c r="B70" s="3">
        <v>4000</v>
      </c>
      <c r="C70" s="3">
        <v>4000</v>
      </c>
      <c r="D70" s="3">
        <v>30</v>
      </c>
      <c r="E70" s="3">
        <v>30</v>
      </c>
      <c r="F70" s="3">
        <v>30</v>
      </c>
      <c r="G70" s="3">
        <v>30</v>
      </c>
      <c r="H70" s="3">
        <v>30</v>
      </c>
      <c r="I70" s="3">
        <v>30</v>
      </c>
      <c r="J70" s="3">
        <v>26</v>
      </c>
      <c r="K70" s="3">
        <v>0</v>
      </c>
      <c r="L70" s="3">
        <v>0</v>
      </c>
      <c r="M70" s="3">
        <v>0</v>
      </c>
      <c r="N70" s="3">
        <v>0</v>
      </c>
      <c r="O70" s="3">
        <v>4000</v>
      </c>
      <c r="P70" s="3">
        <v>1</v>
      </c>
    </row>
    <row r="71" spans="1:16">
      <c r="A71" s="3">
        <v>24.5</v>
      </c>
      <c r="B71" s="3">
        <v>4040</v>
      </c>
      <c r="C71" s="3">
        <v>4040</v>
      </c>
      <c r="D71" s="3">
        <v>10</v>
      </c>
      <c r="E71" s="3">
        <v>10</v>
      </c>
      <c r="F71" s="3">
        <v>10</v>
      </c>
      <c r="G71" s="3">
        <v>10</v>
      </c>
      <c r="H71" s="3">
        <v>10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4040</v>
      </c>
      <c r="P71" s="3">
        <v>1</v>
      </c>
    </row>
    <row r="72" spans="1:16">
      <c r="A72" s="3">
        <v>25</v>
      </c>
      <c r="B72" s="3">
        <v>4080</v>
      </c>
      <c r="C72" s="3">
        <v>4080</v>
      </c>
      <c r="D72" s="3">
        <v>630</v>
      </c>
      <c r="E72" s="3">
        <v>630</v>
      </c>
      <c r="F72" s="3">
        <v>630</v>
      </c>
      <c r="G72" s="3">
        <v>630</v>
      </c>
      <c r="H72" s="3">
        <v>630</v>
      </c>
      <c r="I72" s="3">
        <v>630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4080</v>
      </c>
      <c r="P72" s="3">
        <v>1</v>
      </c>
    </row>
    <row r="73" spans="1:16">
      <c r="A73" s="3">
        <v>25.3</v>
      </c>
      <c r="B73" s="3">
        <v>4120</v>
      </c>
      <c r="C73" s="3">
        <v>4120</v>
      </c>
      <c r="D73" s="3">
        <v>20</v>
      </c>
      <c r="E73" s="3">
        <v>20</v>
      </c>
      <c r="F73" s="3">
        <v>20</v>
      </c>
      <c r="G73" s="3">
        <v>20</v>
      </c>
      <c r="H73" s="3">
        <v>20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4120</v>
      </c>
      <c r="P73" s="3">
        <v>1</v>
      </c>
    </row>
    <row r="74" spans="1:16">
      <c r="A74" s="3">
        <v>25.5</v>
      </c>
      <c r="B74" s="3">
        <v>4160</v>
      </c>
      <c r="C74" s="3">
        <v>4160</v>
      </c>
      <c r="D74" s="3">
        <v>20</v>
      </c>
      <c r="E74" s="3">
        <v>20</v>
      </c>
      <c r="F74" s="3">
        <v>20</v>
      </c>
      <c r="G74" s="3">
        <v>20</v>
      </c>
      <c r="H74" s="3">
        <v>20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4160</v>
      </c>
      <c r="P74" s="3">
        <v>1</v>
      </c>
    </row>
    <row r="75" spans="1:16">
      <c r="A75" s="3">
        <v>25.6</v>
      </c>
      <c r="B75" s="3">
        <v>4200</v>
      </c>
      <c r="C75" s="3">
        <v>4200</v>
      </c>
      <c r="D75" s="3">
        <v>10</v>
      </c>
      <c r="E75" s="3">
        <v>10</v>
      </c>
      <c r="F75" s="3">
        <v>10</v>
      </c>
      <c r="G75" s="3">
        <v>10</v>
      </c>
      <c r="H75" s="3">
        <v>10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4200</v>
      </c>
      <c r="P75" s="3">
        <v>1</v>
      </c>
    </row>
    <row r="76" spans="1:16">
      <c r="A76" s="3">
        <v>26</v>
      </c>
      <c r="B76" s="3">
        <v>4240</v>
      </c>
      <c r="C76" s="3">
        <v>4240</v>
      </c>
      <c r="D76" s="3">
        <v>30</v>
      </c>
      <c r="E76" s="3">
        <v>30</v>
      </c>
      <c r="F76" s="3">
        <v>30</v>
      </c>
      <c r="G76" s="3">
        <v>30</v>
      </c>
      <c r="H76" s="3">
        <v>30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4240</v>
      </c>
      <c r="P76" s="3">
        <v>1</v>
      </c>
    </row>
    <row r="77" spans="1:16">
      <c r="A77" s="3">
        <v>26.5</v>
      </c>
      <c r="B77" s="3">
        <v>4280</v>
      </c>
      <c r="C77" s="3">
        <v>4280</v>
      </c>
      <c r="D77" s="3">
        <v>10</v>
      </c>
      <c r="E77" s="3">
        <v>10</v>
      </c>
      <c r="F77" s="3">
        <v>10</v>
      </c>
      <c r="G77" s="3">
        <v>10</v>
      </c>
      <c r="H77" s="3">
        <v>10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4280</v>
      </c>
      <c r="P77" s="3">
        <v>1</v>
      </c>
    </row>
    <row r="78" spans="1:16">
      <c r="A78" s="3">
        <v>26.7</v>
      </c>
      <c r="B78" s="3">
        <v>4320</v>
      </c>
      <c r="C78" s="3">
        <v>4320</v>
      </c>
      <c r="D78" s="3">
        <v>10</v>
      </c>
      <c r="E78" s="3">
        <v>10</v>
      </c>
      <c r="F78" s="3">
        <v>10</v>
      </c>
      <c r="G78" s="3">
        <v>10</v>
      </c>
      <c r="H78" s="3">
        <v>10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4320</v>
      </c>
      <c r="P78" s="3">
        <v>1</v>
      </c>
    </row>
    <row r="79" spans="1:16">
      <c r="A79" s="3">
        <v>26.8</v>
      </c>
      <c r="B79" s="3">
        <v>4360</v>
      </c>
      <c r="C79" s="3">
        <v>4360</v>
      </c>
      <c r="D79" s="3">
        <v>10</v>
      </c>
      <c r="E79" s="3">
        <v>10</v>
      </c>
      <c r="F79" s="3">
        <v>10</v>
      </c>
      <c r="G79" s="3">
        <v>10</v>
      </c>
      <c r="H79" s="3">
        <v>10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4360</v>
      </c>
      <c r="P79" s="3">
        <v>1</v>
      </c>
    </row>
    <row r="80" spans="1:16">
      <c r="A80" s="3">
        <v>27</v>
      </c>
      <c r="B80" s="3">
        <v>4400</v>
      </c>
      <c r="C80" s="3">
        <v>4400</v>
      </c>
      <c r="D80" s="3">
        <v>40</v>
      </c>
      <c r="E80" s="3">
        <v>40</v>
      </c>
      <c r="F80" s="3">
        <v>40</v>
      </c>
      <c r="G80" s="3">
        <v>40</v>
      </c>
      <c r="H80" s="3">
        <v>40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4400</v>
      </c>
      <c r="P80" s="3">
        <v>1</v>
      </c>
    </row>
    <row r="81" spans="1:16">
      <c r="A81" s="3">
        <v>27.5</v>
      </c>
      <c r="B81" s="3">
        <v>4440</v>
      </c>
      <c r="C81" s="3">
        <v>4440</v>
      </c>
      <c r="D81" s="3">
        <v>10</v>
      </c>
      <c r="E81" s="3">
        <v>10</v>
      </c>
      <c r="F81" s="3">
        <v>10</v>
      </c>
      <c r="G81" s="3">
        <v>10</v>
      </c>
      <c r="H81" s="3">
        <v>10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4440</v>
      </c>
      <c r="P81" s="3">
        <v>1</v>
      </c>
    </row>
    <row r="82" spans="1:16">
      <c r="A82" s="3">
        <v>28</v>
      </c>
      <c r="B82" s="3">
        <v>4480</v>
      </c>
      <c r="C82" s="3">
        <v>4480</v>
      </c>
      <c r="D82" s="3">
        <v>20</v>
      </c>
      <c r="E82" s="3">
        <v>20</v>
      </c>
      <c r="F82" s="3">
        <v>20</v>
      </c>
      <c r="G82" s="3">
        <v>20</v>
      </c>
      <c r="H82" s="3">
        <v>20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4480</v>
      </c>
      <c r="P82" s="3">
        <v>1</v>
      </c>
    </row>
    <row r="83" spans="1:16">
      <c r="A83" s="3">
        <v>29</v>
      </c>
      <c r="B83" s="3">
        <v>4520</v>
      </c>
      <c r="C83" s="3">
        <v>4520</v>
      </c>
      <c r="D83" s="3">
        <v>10</v>
      </c>
      <c r="E83" s="3">
        <v>10</v>
      </c>
      <c r="F83" s="3">
        <v>10</v>
      </c>
      <c r="G83" s="3">
        <v>10</v>
      </c>
      <c r="H83" s="3">
        <v>10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4520</v>
      </c>
      <c r="P83" s="3">
        <v>1</v>
      </c>
    </row>
    <row r="84" spans="1:16">
      <c r="A84" s="3">
        <v>30</v>
      </c>
      <c r="B84" s="3">
        <v>4560</v>
      </c>
      <c r="C84" s="3">
        <v>4560</v>
      </c>
      <c r="D84" s="3">
        <v>812</v>
      </c>
      <c r="E84" s="3">
        <v>812</v>
      </c>
      <c r="F84" s="3">
        <v>812</v>
      </c>
      <c r="G84" s="3">
        <v>812</v>
      </c>
      <c r="H84" s="3">
        <v>812</v>
      </c>
      <c r="I84" s="3">
        <v>374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4560</v>
      </c>
      <c r="P84" s="3">
        <v>1</v>
      </c>
    </row>
    <row r="85" spans="1:16">
      <c r="A85" s="3">
        <v>30.3</v>
      </c>
      <c r="B85" s="3">
        <v>4600</v>
      </c>
      <c r="C85" s="3">
        <v>4600</v>
      </c>
      <c r="D85" s="3">
        <v>20</v>
      </c>
      <c r="E85" s="3">
        <v>20</v>
      </c>
      <c r="F85" s="3">
        <v>20</v>
      </c>
      <c r="G85" s="3">
        <v>20</v>
      </c>
      <c r="H85" s="3">
        <v>20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4600</v>
      </c>
      <c r="P85" s="3">
        <v>1</v>
      </c>
    </row>
    <row r="86" spans="1:16">
      <c r="A86" s="3">
        <v>30.5</v>
      </c>
      <c r="B86" s="3">
        <v>4640</v>
      </c>
      <c r="C86" s="3">
        <v>4640</v>
      </c>
      <c r="D86" s="3">
        <v>50</v>
      </c>
      <c r="E86" s="3">
        <v>50</v>
      </c>
      <c r="F86" s="3">
        <v>50</v>
      </c>
      <c r="G86" s="3">
        <v>50</v>
      </c>
      <c r="H86" s="3">
        <v>50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4640</v>
      </c>
      <c r="P86" s="3">
        <v>1</v>
      </c>
    </row>
    <row r="87" spans="1:16">
      <c r="A87" s="3">
        <v>30.6</v>
      </c>
      <c r="B87" s="3">
        <v>4680</v>
      </c>
      <c r="C87" s="3">
        <v>4680</v>
      </c>
      <c r="D87" s="3">
        <v>10</v>
      </c>
      <c r="E87" s="3">
        <v>10</v>
      </c>
      <c r="F87" s="3">
        <v>10</v>
      </c>
      <c r="G87" s="3">
        <v>10</v>
      </c>
      <c r="H87" s="3">
        <v>10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4680</v>
      </c>
      <c r="P87" s="3">
        <v>1</v>
      </c>
    </row>
    <row r="88" spans="1:16">
      <c r="A88" s="3">
        <v>31</v>
      </c>
      <c r="B88" s="3">
        <v>4720</v>
      </c>
      <c r="C88" s="3">
        <v>4720</v>
      </c>
      <c r="D88" s="3">
        <v>80</v>
      </c>
      <c r="E88" s="3">
        <v>80</v>
      </c>
      <c r="F88" s="3">
        <v>80</v>
      </c>
      <c r="G88" s="3">
        <v>80</v>
      </c>
      <c r="H88" s="3">
        <v>80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4720</v>
      </c>
      <c r="P88" s="3">
        <v>1</v>
      </c>
    </row>
    <row r="89" spans="1:16">
      <c r="A89" s="3">
        <v>31.2</v>
      </c>
      <c r="B89" s="3">
        <v>4760</v>
      </c>
      <c r="C89" s="3">
        <v>4760</v>
      </c>
      <c r="D89" s="3">
        <v>30</v>
      </c>
      <c r="E89" s="3">
        <v>30</v>
      </c>
      <c r="F89" s="3">
        <v>30</v>
      </c>
      <c r="G89" s="3">
        <v>30</v>
      </c>
      <c r="H89" s="3">
        <v>30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4760</v>
      </c>
      <c r="P89" s="3">
        <v>1</v>
      </c>
    </row>
    <row r="90" spans="1:16">
      <c r="A90" s="3">
        <v>31.5</v>
      </c>
      <c r="B90" s="3">
        <v>4800</v>
      </c>
      <c r="C90" s="3">
        <v>4800</v>
      </c>
      <c r="D90" s="3">
        <v>60</v>
      </c>
      <c r="E90" s="3">
        <v>60</v>
      </c>
      <c r="F90" s="3">
        <v>60</v>
      </c>
      <c r="G90" s="3">
        <v>60</v>
      </c>
      <c r="H90" s="3">
        <v>60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4800</v>
      </c>
      <c r="P90" s="3">
        <v>1</v>
      </c>
    </row>
    <row r="91" spans="1:16">
      <c r="A91" s="3">
        <v>32</v>
      </c>
      <c r="B91" s="3">
        <v>4840</v>
      </c>
      <c r="C91" s="3">
        <v>4840</v>
      </c>
      <c r="D91" s="3">
        <v>80</v>
      </c>
      <c r="E91" s="3">
        <v>80</v>
      </c>
      <c r="F91" s="3">
        <v>80</v>
      </c>
      <c r="G91" s="3">
        <v>80</v>
      </c>
      <c r="H91" s="3">
        <v>80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4840</v>
      </c>
      <c r="P91" s="3">
        <v>1</v>
      </c>
    </row>
    <row r="92" spans="1:16">
      <c r="A92" s="3">
        <v>32.4</v>
      </c>
      <c r="B92" s="3">
        <v>4880</v>
      </c>
      <c r="C92" s="3">
        <v>4880</v>
      </c>
      <c r="D92" s="3">
        <v>10</v>
      </c>
      <c r="E92" s="3">
        <v>10</v>
      </c>
      <c r="F92" s="3">
        <v>10</v>
      </c>
      <c r="G92" s="3">
        <v>10</v>
      </c>
      <c r="H92" s="3">
        <v>10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4880</v>
      </c>
      <c r="P92" s="3">
        <v>1</v>
      </c>
    </row>
    <row r="93" spans="1:16">
      <c r="A93" s="3">
        <v>32.5</v>
      </c>
      <c r="B93" s="3">
        <v>4920</v>
      </c>
      <c r="C93" s="3">
        <v>4920</v>
      </c>
      <c r="D93" s="3">
        <v>20</v>
      </c>
      <c r="E93" s="3">
        <v>20</v>
      </c>
      <c r="F93" s="3">
        <v>20</v>
      </c>
      <c r="G93" s="3">
        <v>20</v>
      </c>
      <c r="H93" s="3">
        <v>20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4920</v>
      </c>
      <c r="P93" s="3">
        <v>1</v>
      </c>
    </row>
    <row r="94" spans="1:16">
      <c r="A94" s="3">
        <v>33</v>
      </c>
      <c r="B94" s="3">
        <v>4960</v>
      </c>
      <c r="C94" s="3">
        <v>4960</v>
      </c>
      <c r="D94" s="3">
        <v>20</v>
      </c>
      <c r="E94" s="3">
        <v>20</v>
      </c>
      <c r="F94" s="3">
        <v>20</v>
      </c>
      <c r="G94" s="3">
        <v>20</v>
      </c>
      <c r="H94" s="3">
        <v>20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4960</v>
      </c>
      <c r="P94" s="3">
        <v>1</v>
      </c>
    </row>
    <row r="95" spans="1:16">
      <c r="A95" s="3">
        <v>33.5</v>
      </c>
      <c r="B95" s="3">
        <v>5000</v>
      </c>
      <c r="C95" s="3">
        <v>5000</v>
      </c>
      <c r="D95" s="3">
        <v>20</v>
      </c>
      <c r="E95" s="3">
        <v>20</v>
      </c>
      <c r="F95" s="3">
        <v>20</v>
      </c>
      <c r="G95" s="3">
        <v>20</v>
      </c>
      <c r="H95" s="3">
        <v>20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5000</v>
      </c>
      <c r="P95" s="3">
        <v>1</v>
      </c>
    </row>
    <row r="96" spans="1:16">
      <c r="A96" s="3">
        <v>34</v>
      </c>
      <c r="B96" s="3">
        <v>5000</v>
      </c>
      <c r="C96" s="3">
        <v>5000</v>
      </c>
      <c r="D96" s="3">
        <v>10</v>
      </c>
      <c r="E96" s="3">
        <v>10</v>
      </c>
      <c r="F96" s="3">
        <v>10</v>
      </c>
      <c r="G96" s="3">
        <v>10</v>
      </c>
      <c r="H96" s="3">
        <v>10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5000</v>
      </c>
      <c r="P96" s="3">
        <v>1</v>
      </c>
    </row>
    <row r="97" spans="1:16">
      <c r="A97" s="3">
        <v>34.3</v>
      </c>
      <c r="B97" s="3">
        <v>4940</v>
      </c>
      <c r="C97" s="3">
        <v>4940</v>
      </c>
      <c r="D97" s="3">
        <v>10</v>
      </c>
      <c r="E97" s="3">
        <v>10</v>
      </c>
      <c r="F97" s="3">
        <v>10</v>
      </c>
      <c r="G97" s="3">
        <v>10</v>
      </c>
      <c r="H97" s="3">
        <v>10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4940</v>
      </c>
      <c r="P97" s="3">
        <v>1</v>
      </c>
    </row>
    <row r="98" spans="1:16">
      <c r="A98" s="3">
        <v>35</v>
      </c>
      <c r="B98" s="3">
        <v>4880</v>
      </c>
      <c r="C98" s="3">
        <v>4880</v>
      </c>
      <c r="D98" s="3">
        <v>80</v>
      </c>
      <c r="E98" s="3">
        <v>80</v>
      </c>
      <c r="F98" s="3">
        <v>80</v>
      </c>
      <c r="G98" s="3">
        <v>80</v>
      </c>
      <c r="H98" s="3">
        <v>80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4880</v>
      </c>
      <c r="P98" s="3">
        <v>1</v>
      </c>
    </row>
    <row r="99" spans="1:16">
      <c r="A99" s="3">
        <v>37</v>
      </c>
      <c r="B99" s="3">
        <v>4820</v>
      </c>
      <c r="C99" s="3">
        <v>4820</v>
      </c>
      <c r="D99" s="3">
        <v>10</v>
      </c>
      <c r="E99" s="3">
        <v>10</v>
      </c>
      <c r="F99" s="3">
        <v>10</v>
      </c>
      <c r="G99" s="3">
        <v>10</v>
      </c>
      <c r="H99" s="3">
        <v>10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4820</v>
      </c>
      <c r="P99" s="3">
        <v>1</v>
      </c>
    </row>
    <row r="100" spans="1:16">
      <c r="A100" s="3">
        <v>40</v>
      </c>
      <c r="B100" s="3">
        <v>4760</v>
      </c>
      <c r="C100" s="3">
        <v>4760</v>
      </c>
      <c r="D100" s="3">
        <v>490</v>
      </c>
      <c r="E100" s="3">
        <v>490</v>
      </c>
      <c r="F100" s="3">
        <v>490</v>
      </c>
      <c r="G100" s="3">
        <v>490</v>
      </c>
      <c r="H100" s="3">
        <v>305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4760</v>
      </c>
      <c r="P100" s="3">
        <v>1</v>
      </c>
    </row>
    <row r="101" spans="1:16">
      <c r="A101" s="3">
        <v>40.3</v>
      </c>
      <c r="B101" s="3">
        <v>4700</v>
      </c>
      <c r="C101" s="3">
        <v>4700</v>
      </c>
      <c r="D101" s="3">
        <v>30</v>
      </c>
      <c r="E101" s="3">
        <v>30</v>
      </c>
      <c r="F101" s="3">
        <v>30</v>
      </c>
      <c r="G101" s="3">
        <v>30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4700</v>
      </c>
      <c r="P101" s="3">
        <v>1</v>
      </c>
    </row>
    <row r="102" spans="1:16">
      <c r="A102" s="3">
        <v>40.5</v>
      </c>
      <c r="B102" s="3">
        <v>4640</v>
      </c>
      <c r="C102" s="3">
        <v>4640</v>
      </c>
      <c r="D102" s="3">
        <v>40</v>
      </c>
      <c r="E102" s="3">
        <v>40</v>
      </c>
      <c r="F102" s="3">
        <v>40</v>
      </c>
      <c r="G102" s="3">
        <v>40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4640</v>
      </c>
      <c r="P102" s="3">
        <v>1</v>
      </c>
    </row>
    <row r="103" spans="1:16">
      <c r="A103" s="3">
        <v>40.6</v>
      </c>
      <c r="B103" s="3">
        <v>4580</v>
      </c>
      <c r="C103" s="3">
        <v>4580</v>
      </c>
      <c r="D103" s="3">
        <v>40</v>
      </c>
      <c r="E103" s="3">
        <v>40</v>
      </c>
      <c r="F103" s="3">
        <v>40</v>
      </c>
      <c r="G103" s="3">
        <v>40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4580</v>
      </c>
      <c r="P103" s="3">
        <v>1</v>
      </c>
    </row>
    <row r="104" spans="1:16">
      <c r="A104" s="3">
        <v>40.8</v>
      </c>
      <c r="B104" s="3">
        <v>4520</v>
      </c>
      <c r="C104" s="3">
        <v>4520</v>
      </c>
      <c r="D104" s="3">
        <v>20</v>
      </c>
      <c r="E104" s="3">
        <v>20</v>
      </c>
      <c r="F104" s="3">
        <v>20</v>
      </c>
      <c r="G104" s="3">
        <v>20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4520</v>
      </c>
      <c r="P104" s="3">
        <v>1</v>
      </c>
    </row>
    <row r="105" spans="1:16">
      <c r="A105" s="3">
        <v>41</v>
      </c>
      <c r="B105" s="3">
        <v>4460</v>
      </c>
      <c r="C105" s="3">
        <v>4460</v>
      </c>
      <c r="D105" s="3">
        <v>50</v>
      </c>
      <c r="E105" s="3">
        <v>50</v>
      </c>
      <c r="F105" s="3">
        <v>50</v>
      </c>
      <c r="G105" s="3">
        <v>50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4460</v>
      </c>
      <c r="P105" s="3">
        <v>1</v>
      </c>
    </row>
    <row r="106" spans="1:16">
      <c r="A106" s="3">
        <v>41.2</v>
      </c>
      <c r="B106" s="3">
        <v>4400</v>
      </c>
      <c r="C106" s="3">
        <v>4400</v>
      </c>
      <c r="D106" s="3">
        <v>10</v>
      </c>
      <c r="E106" s="3">
        <v>10</v>
      </c>
      <c r="F106" s="3">
        <v>10</v>
      </c>
      <c r="G106" s="3">
        <v>10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4400</v>
      </c>
      <c r="P106" s="3">
        <v>1</v>
      </c>
    </row>
    <row r="107" spans="1:16">
      <c r="A107" s="3">
        <v>41.5</v>
      </c>
      <c r="B107" s="3">
        <v>4340</v>
      </c>
      <c r="C107" s="3">
        <v>4340</v>
      </c>
      <c r="D107" s="3">
        <v>10</v>
      </c>
      <c r="E107" s="3">
        <v>10</v>
      </c>
      <c r="F107" s="3">
        <v>10</v>
      </c>
      <c r="G107" s="3">
        <v>10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4340</v>
      </c>
      <c r="P107" s="3">
        <v>1</v>
      </c>
    </row>
    <row r="108" spans="1:16">
      <c r="A108" s="3">
        <v>41.8</v>
      </c>
      <c r="B108" s="3">
        <v>4280</v>
      </c>
      <c r="C108" s="3">
        <v>4280</v>
      </c>
      <c r="D108" s="3">
        <v>10</v>
      </c>
      <c r="E108" s="3">
        <v>10</v>
      </c>
      <c r="F108" s="3">
        <v>10</v>
      </c>
      <c r="G108" s="3">
        <v>10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4280</v>
      </c>
      <c r="P108" s="3">
        <v>1</v>
      </c>
    </row>
    <row r="109" spans="1:16">
      <c r="A109" s="3">
        <v>42</v>
      </c>
      <c r="B109" s="3">
        <v>4220</v>
      </c>
      <c r="C109" s="3">
        <v>4220</v>
      </c>
      <c r="D109" s="3">
        <v>30</v>
      </c>
      <c r="E109" s="3">
        <v>30</v>
      </c>
      <c r="F109" s="3">
        <v>30</v>
      </c>
      <c r="G109" s="3">
        <v>30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4220</v>
      </c>
      <c r="P109" s="3">
        <v>1</v>
      </c>
    </row>
    <row r="110" spans="1:16">
      <c r="A110" s="3">
        <v>42.5</v>
      </c>
      <c r="B110" s="3">
        <v>4160</v>
      </c>
      <c r="C110" s="3">
        <v>4160</v>
      </c>
      <c r="D110" s="3">
        <v>20</v>
      </c>
      <c r="E110" s="3">
        <v>20</v>
      </c>
      <c r="F110" s="3">
        <v>20</v>
      </c>
      <c r="G110" s="3">
        <v>20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4160</v>
      </c>
      <c r="P110" s="3">
        <v>1</v>
      </c>
    </row>
    <row r="111" spans="1:16">
      <c r="A111" s="3">
        <v>43</v>
      </c>
      <c r="B111" s="3">
        <v>4100</v>
      </c>
      <c r="C111" s="3">
        <v>4100</v>
      </c>
      <c r="D111" s="3">
        <v>20</v>
      </c>
      <c r="E111" s="3">
        <v>20</v>
      </c>
      <c r="F111" s="3">
        <v>20</v>
      </c>
      <c r="G111" s="3">
        <v>20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4100</v>
      </c>
      <c r="P111" s="3">
        <v>1</v>
      </c>
    </row>
    <row r="112" spans="1:16">
      <c r="A112" s="3">
        <v>43.5</v>
      </c>
      <c r="B112" s="3">
        <v>4040</v>
      </c>
      <c r="C112" s="3">
        <v>4040</v>
      </c>
      <c r="D112" s="3">
        <v>10</v>
      </c>
      <c r="E112" s="3">
        <v>10</v>
      </c>
      <c r="F112" s="3">
        <v>10</v>
      </c>
      <c r="G112" s="3">
        <v>10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4040</v>
      </c>
      <c r="P112" s="3">
        <v>1</v>
      </c>
    </row>
    <row r="113" spans="1:16">
      <c r="A113" s="3">
        <v>45</v>
      </c>
      <c r="B113" s="3">
        <v>3980</v>
      </c>
      <c r="C113" s="3">
        <v>3980</v>
      </c>
      <c r="D113" s="3">
        <v>210</v>
      </c>
      <c r="E113" s="3">
        <v>210</v>
      </c>
      <c r="F113" s="3">
        <v>210</v>
      </c>
      <c r="G113" s="3">
        <v>210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3980</v>
      </c>
      <c r="P113" s="3">
        <v>1</v>
      </c>
    </row>
    <row r="114" spans="1:16">
      <c r="A114" s="3">
        <v>46</v>
      </c>
      <c r="B114" s="3">
        <v>3920</v>
      </c>
      <c r="C114" s="3">
        <v>3920</v>
      </c>
      <c r="D114" s="3">
        <v>20</v>
      </c>
      <c r="E114" s="3">
        <v>20</v>
      </c>
      <c r="F114" s="3">
        <v>20</v>
      </c>
      <c r="G114" s="3">
        <v>20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3920</v>
      </c>
      <c r="P114" s="3">
        <v>1</v>
      </c>
    </row>
    <row r="115" spans="1:16">
      <c r="A115" s="3">
        <v>46.5</v>
      </c>
      <c r="B115" s="3">
        <v>3860</v>
      </c>
      <c r="C115" s="3">
        <v>3860</v>
      </c>
      <c r="D115" s="3">
        <v>10</v>
      </c>
      <c r="E115" s="3">
        <v>10</v>
      </c>
      <c r="F115" s="3">
        <v>10</v>
      </c>
      <c r="G115" s="3">
        <v>10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3860</v>
      </c>
      <c r="P115" s="3">
        <v>1</v>
      </c>
    </row>
    <row r="116" spans="1:16">
      <c r="A116" s="3">
        <v>50</v>
      </c>
      <c r="B116" s="3">
        <v>3800</v>
      </c>
      <c r="C116" s="3">
        <v>3800</v>
      </c>
      <c r="D116" s="3">
        <v>270</v>
      </c>
      <c r="E116" s="3">
        <v>270</v>
      </c>
      <c r="F116" s="3">
        <v>270</v>
      </c>
      <c r="G116" s="3">
        <v>270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3800</v>
      </c>
      <c r="P116" s="3">
        <v>1</v>
      </c>
    </row>
    <row r="117" spans="1:16">
      <c r="A117" s="3">
        <v>50.3</v>
      </c>
      <c r="B117" s="3">
        <v>3740</v>
      </c>
      <c r="C117" s="3">
        <v>3740</v>
      </c>
      <c r="D117" s="3">
        <v>20</v>
      </c>
      <c r="E117" s="3">
        <v>20</v>
      </c>
      <c r="F117" s="3">
        <v>20</v>
      </c>
      <c r="G117" s="3">
        <v>9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3740</v>
      </c>
      <c r="P117" s="3">
        <v>1</v>
      </c>
    </row>
    <row r="118" spans="1:16">
      <c r="A118" s="3">
        <v>50.5</v>
      </c>
      <c r="B118" s="3">
        <v>3680</v>
      </c>
      <c r="C118" s="3">
        <v>3680</v>
      </c>
      <c r="D118" s="3">
        <v>20</v>
      </c>
      <c r="E118" s="3">
        <v>20</v>
      </c>
      <c r="F118" s="3">
        <v>20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3680</v>
      </c>
      <c r="P118" s="3">
        <v>1</v>
      </c>
    </row>
    <row r="119" spans="1:16">
      <c r="A119" s="3">
        <v>50.6</v>
      </c>
      <c r="B119" s="3">
        <v>3620</v>
      </c>
      <c r="C119" s="3">
        <v>3620</v>
      </c>
      <c r="D119" s="3">
        <v>30</v>
      </c>
      <c r="E119" s="3">
        <v>30</v>
      </c>
      <c r="F119" s="3">
        <v>30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3620</v>
      </c>
      <c r="P119" s="3">
        <v>1</v>
      </c>
    </row>
    <row r="120" spans="1:16">
      <c r="A120" s="3">
        <v>51</v>
      </c>
      <c r="B120" s="3">
        <v>3560</v>
      </c>
      <c r="C120" s="3">
        <v>3560</v>
      </c>
      <c r="D120" s="3">
        <v>20</v>
      </c>
      <c r="E120" s="3">
        <v>20</v>
      </c>
      <c r="F120" s="3">
        <v>20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3560</v>
      </c>
      <c r="P120" s="3">
        <v>1</v>
      </c>
    </row>
    <row r="121" spans="1:16">
      <c r="A121" s="3">
        <v>51.5</v>
      </c>
      <c r="B121" s="3">
        <v>3500</v>
      </c>
      <c r="C121" s="3">
        <v>3500</v>
      </c>
      <c r="D121" s="3">
        <v>20</v>
      </c>
      <c r="E121" s="3">
        <v>20</v>
      </c>
      <c r="F121" s="3">
        <v>20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3500</v>
      </c>
      <c r="P121" s="3">
        <v>1</v>
      </c>
    </row>
    <row r="122" spans="1:16">
      <c r="A122" s="3">
        <v>51.7</v>
      </c>
      <c r="B122" s="3">
        <v>3440</v>
      </c>
      <c r="C122" s="3">
        <v>3440</v>
      </c>
      <c r="D122" s="3">
        <v>10</v>
      </c>
      <c r="E122" s="3">
        <v>10</v>
      </c>
      <c r="F122" s="3">
        <v>10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3440</v>
      </c>
      <c r="P122" s="3">
        <v>1</v>
      </c>
    </row>
    <row r="123" spans="1:16">
      <c r="A123" s="3">
        <v>52</v>
      </c>
      <c r="B123" s="3">
        <v>3380</v>
      </c>
      <c r="C123" s="3">
        <v>3380</v>
      </c>
      <c r="D123" s="3">
        <v>50</v>
      </c>
      <c r="E123" s="3">
        <v>50</v>
      </c>
      <c r="F123" s="3">
        <v>50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3380</v>
      </c>
      <c r="P123" s="3">
        <v>1</v>
      </c>
    </row>
    <row r="124" spans="1:16">
      <c r="A124" s="3">
        <v>52.2</v>
      </c>
      <c r="B124" s="3">
        <v>3320</v>
      </c>
      <c r="C124" s="3">
        <v>3320</v>
      </c>
      <c r="D124" s="3">
        <v>10</v>
      </c>
      <c r="E124" s="3">
        <v>10</v>
      </c>
      <c r="F124" s="3">
        <v>10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3320</v>
      </c>
      <c r="P124" s="3">
        <v>1</v>
      </c>
    </row>
    <row r="125" spans="1:16">
      <c r="A125" s="3">
        <v>52.3</v>
      </c>
      <c r="B125" s="3">
        <v>3260</v>
      </c>
      <c r="C125" s="3">
        <v>3260</v>
      </c>
      <c r="D125" s="3">
        <v>10</v>
      </c>
      <c r="E125" s="3">
        <v>10</v>
      </c>
      <c r="F125" s="3">
        <v>10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3260</v>
      </c>
      <c r="P125" s="3">
        <v>1</v>
      </c>
    </row>
    <row r="126" spans="1:16">
      <c r="A126" s="3">
        <v>52.5</v>
      </c>
      <c r="B126" s="3">
        <v>3200</v>
      </c>
      <c r="C126" s="3">
        <v>3200</v>
      </c>
      <c r="D126" s="3">
        <v>10</v>
      </c>
      <c r="E126" s="3">
        <v>10</v>
      </c>
      <c r="F126" s="3">
        <v>10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3200</v>
      </c>
      <c r="P126" s="3">
        <v>1</v>
      </c>
    </row>
    <row r="127" spans="1:16">
      <c r="A127" s="3">
        <v>54</v>
      </c>
      <c r="B127" s="3">
        <v>3140</v>
      </c>
      <c r="C127" s="3">
        <v>3140</v>
      </c>
      <c r="D127" s="3">
        <v>20</v>
      </c>
      <c r="E127" s="3">
        <v>20</v>
      </c>
      <c r="F127" s="3">
        <v>20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3140</v>
      </c>
      <c r="P127" s="3">
        <v>1</v>
      </c>
    </row>
    <row r="128" spans="1:16">
      <c r="A128" s="3">
        <v>54.3</v>
      </c>
      <c r="B128" s="3">
        <v>3080</v>
      </c>
      <c r="C128" s="3">
        <v>3080</v>
      </c>
      <c r="D128" s="3">
        <v>10</v>
      </c>
      <c r="E128" s="3">
        <v>10</v>
      </c>
      <c r="F128" s="3">
        <v>10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3080</v>
      </c>
      <c r="P128" s="3">
        <v>1</v>
      </c>
    </row>
    <row r="129" spans="1:16">
      <c r="A129" s="3">
        <v>55</v>
      </c>
      <c r="B129" s="3">
        <v>3020</v>
      </c>
      <c r="C129" s="3">
        <v>3020</v>
      </c>
      <c r="D129" s="3">
        <v>70</v>
      </c>
      <c r="E129" s="3">
        <v>70</v>
      </c>
      <c r="F129" s="3">
        <v>70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3020</v>
      </c>
      <c r="P129" s="3">
        <v>1</v>
      </c>
    </row>
    <row r="130" spans="1:16">
      <c r="A130" s="3">
        <v>55.3</v>
      </c>
      <c r="B130" s="3">
        <v>2960</v>
      </c>
      <c r="C130" s="3">
        <v>2960</v>
      </c>
      <c r="D130" s="3">
        <v>10</v>
      </c>
      <c r="E130" s="3">
        <v>10</v>
      </c>
      <c r="F130" s="3">
        <v>10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2960</v>
      </c>
      <c r="P130" s="3">
        <v>1</v>
      </c>
    </row>
    <row r="131" spans="1:16">
      <c r="A131" s="3">
        <v>56.2</v>
      </c>
      <c r="B131" s="3">
        <v>2900</v>
      </c>
      <c r="C131" s="3">
        <v>2900</v>
      </c>
      <c r="D131" s="3">
        <v>10</v>
      </c>
      <c r="E131" s="3">
        <v>10</v>
      </c>
      <c r="F131" s="3">
        <v>10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2900</v>
      </c>
      <c r="P131" s="3">
        <v>1</v>
      </c>
    </row>
    <row r="132" spans="1:16">
      <c r="A132" s="3">
        <v>57</v>
      </c>
      <c r="B132" s="3">
        <v>2840</v>
      </c>
      <c r="C132" s="3">
        <v>2840</v>
      </c>
      <c r="D132" s="3">
        <v>10</v>
      </c>
      <c r="E132" s="3">
        <v>10</v>
      </c>
      <c r="F132" s="3">
        <v>10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2840</v>
      </c>
      <c r="P132" s="3">
        <v>1</v>
      </c>
    </row>
    <row r="133" spans="1:16">
      <c r="A133" s="3">
        <v>58.3</v>
      </c>
      <c r="B133" s="3">
        <v>2780</v>
      </c>
      <c r="C133" s="3">
        <v>2780</v>
      </c>
      <c r="D133" s="3">
        <v>20</v>
      </c>
      <c r="E133" s="3">
        <v>20</v>
      </c>
      <c r="F133" s="3">
        <v>20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2780</v>
      </c>
      <c r="P133" s="3">
        <v>1</v>
      </c>
    </row>
    <row r="134" spans="1:16">
      <c r="A134" s="3">
        <v>58.5</v>
      </c>
      <c r="B134" s="3">
        <v>2720</v>
      </c>
      <c r="C134" s="3">
        <v>2720</v>
      </c>
      <c r="D134" s="3">
        <v>10</v>
      </c>
      <c r="E134" s="3">
        <v>10</v>
      </c>
      <c r="F134" s="3">
        <v>10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2720</v>
      </c>
      <c r="P134" s="3">
        <v>1</v>
      </c>
    </row>
    <row r="135" spans="1:16">
      <c r="A135" s="3">
        <v>60</v>
      </c>
      <c r="B135" s="3">
        <v>2660</v>
      </c>
      <c r="C135" s="3">
        <v>2660</v>
      </c>
      <c r="D135" s="3">
        <v>120</v>
      </c>
      <c r="E135" s="3">
        <v>120</v>
      </c>
      <c r="F135" s="3">
        <v>120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2660</v>
      </c>
      <c r="P135" s="3">
        <v>1</v>
      </c>
    </row>
    <row r="136" spans="1:16">
      <c r="A136" s="3">
        <v>60.3</v>
      </c>
      <c r="B136" s="3">
        <v>2600</v>
      </c>
      <c r="C136" s="3">
        <v>2600</v>
      </c>
      <c r="D136" s="3">
        <v>15</v>
      </c>
      <c r="E136" s="3">
        <v>15</v>
      </c>
      <c r="F136" s="3">
        <v>15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2600</v>
      </c>
      <c r="P136" s="3">
        <v>1</v>
      </c>
    </row>
    <row r="137" spans="1:16">
      <c r="A137" s="3">
        <v>60.5</v>
      </c>
      <c r="B137" s="3">
        <v>2540</v>
      </c>
      <c r="C137" s="3">
        <v>2540</v>
      </c>
      <c r="D137" s="3">
        <v>10</v>
      </c>
      <c r="E137" s="3">
        <v>10</v>
      </c>
      <c r="F137" s="3">
        <v>10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2540</v>
      </c>
      <c r="P137" s="3">
        <v>1</v>
      </c>
    </row>
    <row r="138" spans="1:16">
      <c r="A138" s="3">
        <v>61</v>
      </c>
      <c r="B138" s="3">
        <v>2480</v>
      </c>
      <c r="C138" s="3">
        <v>2480</v>
      </c>
      <c r="D138" s="3">
        <v>20</v>
      </c>
      <c r="E138" s="3">
        <v>20</v>
      </c>
      <c r="F138" s="3">
        <v>20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2480</v>
      </c>
      <c r="P138" s="3">
        <v>1</v>
      </c>
    </row>
    <row r="139" spans="1:16">
      <c r="A139" s="3">
        <v>61.2</v>
      </c>
      <c r="B139" s="3">
        <v>2420</v>
      </c>
      <c r="C139" s="3">
        <v>2420</v>
      </c>
      <c r="D139" s="3">
        <v>10</v>
      </c>
      <c r="E139" s="3">
        <v>10</v>
      </c>
      <c r="F139" s="3">
        <v>10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2420</v>
      </c>
      <c r="P139" s="3">
        <v>1</v>
      </c>
    </row>
    <row r="140" spans="1:16">
      <c r="A140" s="3">
        <v>61.5</v>
      </c>
      <c r="B140" s="3">
        <v>2360</v>
      </c>
      <c r="C140" s="3">
        <v>2360</v>
      </c>
      <c r="D140" s="3">
        <v>10</v>
      </c>
      <c r="E140" s="3">
        <v>10</v>
      </c>
      <c r="F140" s="3">
        <v>10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2360</v>
      </c>
      <c r="P140" s="3">
        <v>1</v>
      </c>
    </row>
    <row r="141" spans="1:16">
      <c r="A141" s="3">
        <v>62</v>
      </c>
      <c r="B141" s="3">
        <v>2300</v>
      </c>
      <c r="C141" s="3">
        <v>2300</v>
      </c>
      <c r="D141" s="3">
        <v>25</v>
      </c>
      <c r="E141" s="3">
        <v>25</v>
      </c>
      <c r="F141" s="3">
        <v>25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2300</v>
      </c>
      <c r="P141" s="3">
        <v>1</v>
      </c>
    </row>
    <row r="142" spans="1:16">
      <c r="A142" s="3">
        <v>62.3</v>
      </c>
      <c r="B142" s="3">
        <v>2240</v>
      </c>
      <c r="C142" s="3">
        <v>2240</v>
      </c>
      <c r="D142" s="3">
        <v>6</v>
      </c>
      <c r="E142" s="3">
        <v>6</v>
      </c>
      <c r="F142" s="3">
        <v>6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2240</v>
      </c>
      <c r="P142" s="3">
        <v>1</v>
      </c>
    </row>
    <row r="143" spans="1:16">
      <c r="A143" s="3">
        <v>62.5</v>
      </c>
      <c r="B143" s="3">
        <v>2180</v>
      </c>
      <c r="C143" s="3">
        <v>2180</v>
      </c>
      <c r="D143" s="3">
        <v>6</v>
      </c>
      <c r="E143" s="3">
        <v>6</v>
      </c>
      <c r="F143" s="3">
        <v>6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2180</v>
      </c>
      <c r="P143" s="3">
        <v>1</v>
      </c>
    </row>
    <row r="144" spans="1:16">
      <c r="A144" s="3">
        <v>63</v>
      </c>
      <c r="B144" s="3">
        <v>2120</v>
      </c>
      <c r="C144" s="3">
        <v>2120</v>
      </c>
      <c r="D144" s="3">
        <v>25</v>
      </c>
      <c r="E144" s="3">
        <v>25</v>
      </c>
      <c r="F144" s="3">
        <v>25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2120</v>
      </c>
      <c r="P144" s="3">
        <v>1</v>
      </c>
    </row>
    <row r="145" spans="1:16">
      <c r="A145" s="3">
        <v>63.2</v>
      </c>
      <c r="B145" s="3">
        <v>2060</v>
      </c>
      <c r="C145" s="3">
        <v>2060</v>
      </c>
      <c r="D145" s="3">
        <v>5</v>
      </c>
      <c r="E145" s="3">
        <v>5</v>
      </c>
      <c r="F145" s="3">
        <v>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2060</v>
      </c>
      <c r="P145" s="3">
        <v>1</v>
      </c>
    </row>
    <row r="146" spans="1:16">
      <c r="A146" s="3">
        <v>64.5</v>
      </c>
      <c r="B146" s="3">
        <v>2000</v>
      </c>
      <c r="C146" s="3">
        <v>2000</v>
      </c>
      <c r="D146" s="3">
        <v>5</v>
      </c>
      <c r="E146" s="3">
        <v>5</v>
      </c>
      <c r="F146" s="3">
        <v>5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2000</v>
      </c>
      <c r="P146" s="3">
        <v>1</v>
      </c>
    </row>
    <row r="147" spans="1:16">
      <c r="A147" s="3">
        <v>65</v>
      </c>
      <c r="B147" s="3">
        <v>1940</v>
      </c>
      <c r="C147" s="3">
        <v>1940</v>
      </c>
      <c r="D147" s="3">
        <v>15</v>
      </c>
      <c r="E147" s="3">
        <v>15</v>
      </c>
      <c r="F147" s="3">
        <v>15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1940</v>
      </c>
      <c r="P147" s="3">
        <v>1</v>
      </c>
    </row>
    <row r="148" spans="1:16">
      <c r="A148" s="3">
        <v>65.3</v>
      </c>
      <c r="B148" s="3">
        <v>1880</v>
      </c>
      <c r="C148" s="3">
        <v>1880</v>
      </c>
      <c r="D148" s="3">
        <v>5</v>
      </c>
      <c r="E148" s="3">
        <v>5</v>
      </c>
      <c r="F148" s="3">
        <v>5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1880</v>
      </c>
      <c r="P148" s="3">
        <v>1</v>
      </c>
    </row>
    <row r="149" spans="1:16">
      <c r="A149" s="3">
        <v>65.5</v>
      </c>
      <c r="B149" s="3">
        <v>1820</v>
      </c>
      <c r="C149" s="3">
        <v>1820</v>
      </c>
      <c r="D149" s="3">
        <v>30</v>
      </c>
      <c r="E149" s="3">
        <v>30</v>
      </c>
      <c r="F149" s="3">
        <v>30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1820</v>
      </c>
      <c r="P149" s="3">
        <v>1</v>
      </c>
    </row>
    <row r="150" spans="1:16">
      <c r="A150" s="3">
        <v>66</v>
      </c>
      <c r="B150" s="3">
        <v>1760</v>
      </c>
      <c r="C150" s="3">
        <v>1760</v>
      </c>
      <c r="D150" s="3">
        <v>15</v>
      </c>
      <c r="E150" s="3">
        <v>15</v>
      </c>
      <c r="F150" s="3">
        <v>15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1760</v>
      </c>
      <c r="P150" s="3">
        <v>1</v>
      </c>
    </row>
    <row r="151" spans="1:16">
      <c r="A151" s="3">
        <v>67</v>
      </c>
      <c r="B151" s="3">
        <v>1700</v>
      </c>
      <c r="C151" s="3">
        <v>1700</v>
      </c>
      <c r="D151" s="3">
        <v>10</v>
      </c>
      <c r="E151" s="3">
        <v>10</v>
      </c>
      <c r="F151" s="3">
        <v>10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1700</v>
      </c>
      <c r="P151" s="3">
        <v>1</v>
      </c>
    </row>
    <row r="152" spans="1:16">
      <c r="A152" s="3">
        <v>68</v>
      </c>
      <c r="B152" s="3">
        <v>1640</v>
      </c>
      <c r="C152" s="3">
        <v>1640</v>
      </c>
      <c r="D152" s="3">
        <v>15</v>
      </c>
      <c r="E152" s="3">
        <v>15</v>
      </c>
      <c r="F152" s="3">
        <v>15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1640</v>
      </c>
      <c r="P152" s="3">
        <v>1</v>
      </c>
    </row>
    <row r="153" spans="1:16">
      <c r="A153" s="3">
        <v>68.3</v>
      </c>
      <c r="B153" s="3">
        <v>1580</v>
      </c>
      <c r="C153" s="3">
        <v>1580</v>
      </c>
      <c r="D153" s="3">
        <v>5</v>
      </c>
      <c r="E153" s="3">
        <v>5</v>
      </c>
      <c r="F153" s="3">
        <v>5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1580</v>
      </c>
      <c r="P153" s="3">
        <v>1</v>
      </c>
    </row>
    <row r="154" spans="1:16">
      <c r="A154" s="3">
        <v>70</v>
      </c>
      <c r="B154" s="3">
        <v>1520</v>
      </c>
      <c r="C154" s="3">
        <v>1520</v>
      </c>
      <c r="D154" s="3">
        <v>70</v>
      </c>
      <c r="E154" s="3">
        <v>70</v>
      </c>
      <c r="F154" s="3">
        <v>56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1520</v>
      </c>
      <c r="P154" s="3">
        <v>1</v>
      </c>
    </row>
    <row r="155" spans="1:16">
      <c r="A155" s="3">
        <v>70.3</v>
      </c>
      <c r="B155" s="3">
        <v>1460</v>
      </c>
      <c r="C155" s="3">
        <v>1460</v>
      </c>
      <c r="D155" s="3">
        <v>40</v>
      </c>
      <c r="E155" s="3">
        <v>40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1460</v>
      </c>
      <c r="P155" s="3">
        <v>1</v>
      </c>
    </row>
    <row r="156" spans="1:16">
      <c r="A156" s="3">
        <v>70.5</v>
      </c>
      <c r="B156" s="3">
        <v>1400</v>
      </c>
      <c r="C156" s="3">
        <v>1400</v>
      </c>
      <c r="D156" s="3">
        <v>15</v>
      </c>
      <c r="E156" s="3">
        <v>15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1400</v>
      </c>
      <c r="P156" s="3">
        <v>1</v>
      </c>
    </row>
    <row r="157" spans="1:16">
      <c r="A157" s="3">
        <v>71</v>
      </c>
      <c r="B157" s="3">
        <v>1340</v>
      </c>
      <c r="C157" s="3">
        <v>1340</v>
      </c>
      <c r="D157" s="3">
        <v>10</v>
      </c>
      <c r="E157" s="3">
        <v>10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1340</v>
      </c>
      <c r="P157" s="3">
        <v>1</v>
      </c>
    </row>
    <row r="158" spans="1:16">
      <c r="A158" s="3">
        <v>71.2</v>
      </c>
      <c r="B158" s="3">
        <v>1280</v>
      </c>
      <c r="C158" s="3">
        <v>1280</v>
      </c>
      <c r="D158" s="3">
        <v>5</v>
      </c>
      <c r="E158" s="3">
        <v>5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1280</v>
      </c>
      <c r="P158" s="3">
        <v>1</v>
      </c>
    </row>
    <row r="159" spans="1:16">
      <c r="A159" s="3">
        <v>72</v>
      </c>
      <c r="B159" s="3">
        <v>1220</v>
      </c>
      <c r="C159" s="3">
        <v>1220</v>
      </c>
      <c r="D159" s="3">
        <v>25</v>
      </c>
      <c r="E159" s="3">
        <v>25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1220</v>
      </c>
      <c r="P159" s="3">
        <v>1</v>
      </c>
    </row>
    <row r="160" spans="1:16">
      <c r="A160" s="3">
        <v>74</v>
      </c>
      <c r="B160" s="3">
        <v>1160</v>
      </c>
      <c r="C160" s="3">
        <v>1160</v>
      </c>
      <c r="D160" s="3">
        <v>10</v>
      </c>
      <c r="E160" s="3">
        <v>10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1160</v>
      </c>
      <c r="P160" s="3">
        <v>1</v>
      </c>
    </row>
    <row r="161" spans="1:16">
      <c r="A161" s="3">
        <v>75</v>
      </c>
      <c r="B161" s="3">
        <v>1100</v>
      </c>
      <c r="C161" s="3">
        <v>1100</v>
      </c>
      <c r="D161" s="3">
        <v>45</v>
      </c>
      <c r="E161" s="3">
        <v>45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1100</v>
      </c>
      <c r="P161" s="3">
        <v>1</v>
      </c>
    </row>
    <row r="162" spans="1:16">
      <c r="A162" s="3">
        <v>75.3</v>
      </c>
      <c r="B162" s="3">
        <v>1040</v>
      </c>
      <c r="C162" s="3">
        <v>300</v>
      </c>
      <c r="D162" s="3">
        <v>5</v>
      </c>
      <c r="E162" s="3">
        <v>5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1040</v>
      </c>
      <c r="P162" s="3">
        <v>1</v>
      </c>
    </row>
    <row r="163" spans="1:16">
      <c r="A163" s="3">
        <v>80</v>
      </c>
      <c r="B163" s="3">
        <v>980</v>
      </c>
      <c r="C163" s="3">
        <v>0</v>
      </c>
      <c r="D163" s="3">
        <v>58</v>
      </c>
      <c r="E163" s="3">
        <v>58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980</v>
      </c>
      <c r="P163" s="3">
        <v>1</v>
      </c>
    </row>
    <row r="164" spans="1:16">
      <c r="A164" s="3">
        <v>80.5</v>
      </c>
      <c r="B164" s="3">
        <v>920</v>
      </c>
      <c r="C164" s="3">
        <v>0</v>
      </c>
      <c r="D164" s="3">
        <v>2</v>
      </c>
      <c r="E164" s="3">
        <v>2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920</v>
      </c>
      <c r="P164" s="3">
        <v>1</v>
      </c>
    </row>
    <row r="165" spans="1:16">
      <c r="A165" s="3">
        <v>80.6</v>
      </c>
      <c r="B165" s="3">
        <v>860</v>
      </c>
      <c r="C165" s="3">
        <v>0</v>
      </c>
      <c r="D165" s="3">
        <v>4</v>
      </c>
      <c r="E165" s="3">
        <v>2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860</v>
      </c>
      <c r="P165" s="3">
        <v>1</v>
      </c>
    </row>
    <row r="166" spans="1:16">
      <c r="A166" s="3">
        <v>80.8</v>
      </c>
      <c r="B166" s="3">
        <v>800</v>
      </c>
      <c r="C166" s="3">
        <v>0</v>
      </c>
      <c r="D166" s="3">
        <v>2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800</v>
      </c>
      <c r="P166" s="3">
        <v>1</v>
      </c>
    </row>
    <row r="167" spans="1:16">
      <c r="A167" s="3">
        <v>81</v>
      </c>
      <c r="B167" s="3">
        <v>740</v>
      </c>
      <c r="C167" s="3">
        <v>0</v>
      </c>
      <c r="D167" s="3">
        <v>2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740</v>
      </c>
      <c r="P167" s="3">
        <v>1</v>
      </c>
    </row>
    <row r="168" spans="1:16">
      <c r="A168" s="3">
        <v>81.2</v>
      </c>
      <c r="B168" s="3">
        <v>680</v>
      </c>
      <c r="C168" s="3">
        <v>0</v>
      </c>
      <c r="D168" s="3">
        <v>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680</v>
      </c>
      <c r="P168" s="3">
        <v>1</v>
      </c>
    </row>
    <row r="169" spans="1:16">
      <c r="A169" s="3">
        <v>82</v>
      </c>
      <c r="B169" s="3">
        <v>620</v>
      </c>
      <c r="C169" s="3">
        <v>0</v>
      </c>
      <c r="D169" s="3">
        <v>16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620</v>
      </c>
      <c r="P169" s="3">
        <v>1</v>
      </c>
    </row>
    <row r="170" spans="1:16">
      <c r="A170" s="3">
        <v>82.5</v>
      </c>
      <c r="B170" s="3">
        <v>560</v>
      </c>
      <c r="C170" s="3">
        <v>0</v>
      </c>
      <c r="D170" s="3">
        <v>6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560</v>
      </c>
      <c r="P170" s="3">
        <v>1</v>
      </c>
    </row>
    <row r="171" spans="1:16">
      <c r="A171" s="3">
        <v>82.8</v>
      </c>
      <c r="B171" s="3">
        <v>500</v>
      </c>
      <c r="C171" s="3">
        <v>0</v>
      </c>
      <c r="D171" s="3">
        <v>4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500</v>
      </c>
      <c r="P171" s="3">
        <v>1</v>
      </c>
    </row>
    <row r="172" spans="1:16">
      <c r="A172" s="3">
        <v>83.3</v>
      </c>
      <c r="B172" s="3">
        <v>495</v>
      </c>
      <c r="C172" s="3">
        <v>0</v>
      </c>
      <c r="D172" s="3">
        <v>2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495</v>
      </c>
      <c r="P172" s="3">
        <v>1</v>
      </c>
    </row>
    <row r="173" spans="1:16">
      <c r="A173" s="3">
        <v>83.5</v>
      </c>
      <c r="B173" s="3">
        <v>490</v>
      </c>
      <c r="C173" s="3">
        <v>0</v>
      </c>
      <c r="D173" s="3">
        <v>6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490</v>
      </c>
      <c r="P173" s="3">
        <v>1</v>
      </c>
    </row>
    <row r="174" spans="1:16">
      <c r="A174" s="3">
        <v>84</v>
      </c>
      <c r="B174" s="3">
        <v>485</v>
      </c>
      <c r="C174" s="3">
        <v>0</v>
      </c>
      <c r="D174" s="3">
        <v>4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485</v>
      </c>
      <c r="P174" s="3">
        <v>1</v>
      </c>
    </row>
    <row r="175" spans="1:16">
      <c r="A175" s="3">
        <v>84.3</v>
      </c>
      <c r="B175" s="3">
        <v>480</v>
      </c>
      <c r="C175" s="3">
        <v>0</v>
      </c>
      <c r="D175" s="3">
        <v>2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480</v>
      </c>
      <c r="P175" s="3">
        <v>1</v>
      </c>
    </row>
    <row r="176" spans="1:16">
      <c r="A176" s="3">
        <v>84.5</v>
      </c>
      <c r="B176" s="3">
        <v>475</v>
      </c>
      <c r="C176" s="3">
        <v>0</v>
      </c>
      <c r="D176" s="3">
        <v>4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475</v>
      </c>
      <c r="P176" s="3">
        <v>1</v>
      </c>
    </row>
    <row r="177" spans="1:16">
      <c r="A177" s="3">
        <v>84.6</v>
      </c>
      <c r="B177" s="3">
        <v>470</v>
      </c>
      <c r="C177" s="3">
        <v>0</v>
      </c>
      <c r="D177" s="3">
        <v>2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470</v>
      </c>
      <c r="P177" s="3">
        <v>1</v>
      </c>
    </row>
    <row r="178" spans="1:16">
      <c r="A178" s="3">
        <v>85</v>
      </c>
      <c r="B178" s="3">
        <v>465</v>
      </c>
      <c r="C178" s="3">
        <v>0</v>
      </c>
      <c r="D178" s="3">
        <v>2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465</v>
      </c>
      <c r="P178" s="3">
        <v>1</v>
      </c>
    </row>
    <row r="179" spans="1:16">
      <c r="A179" s="3">
        <v>85.2</v>
      </c>
      <c r="B179" s="3">
        <v>460</v>
      </c>
      <c r="C179" s="3">
        <v>0</v>
      </c>
      <c r="D179" s="3">
        <v>2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460</v>
      </c>
      <c r="P179" s="3">
        <v>1</v>
      </c>
    </row>
    <row r="180" spans="1:16">
      <c r="A180" s="3">
        <v>85.3</v>
      </c>
      <c r="B180" s="3">
        <v>455</v>
      </c>
      <c r="C180" s="3">
        <v>0</v>
      </c>
      <c r="D180" s="3">
        <v>4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455</v>
      </c>
      <c r="P180" s="3">
        <v>1</v>
      </c>
    </row>
    <row r="181" spans="1:16">
      <c r="A181" s="3">
        <v>85.5</v>
      </c>
      <c r="B181" s="3">
        <v>450</v>
      </c>
      <c r="C181" s="3">
        <v>0</v>
      </c>
      <c r="D181" s="3">
        <v>2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450</v>
      </c>
      <c r="P181" s="3">
        <v>1</v>
      </c>
    </row>
    <row r="182" spans="1:16">
      <c r="A182" s="3">
        <v>86.5</v>
      </c>
      <c r="B182" s="3">
        <v>445</v>
      </c>
      <c r="C182" s="3">
        <v>0</v>
      </c>
      <c r="D182" s="3">
        <v>2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445</v>
      </c>
      <c r="P182" s="3">
        <v>1</v>
      </c>
    </row>
    <row r="183" spans="1:16">
      <c r="A183" s="3">
        <v>90</v>
      </c>
      <c r="B183" s="3">
        <v>440</v>
      </c>
      <c r="C183" s="3">
        <v>0</v>
      </c>
      <c r="D183" s="3">
        <v>50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440</v>
      </c>
      <c r="P183" s="3">
        <v>1</v>
      </c>
    </row>
    <row r="184" spans="1:16">
      <c r="A184" s="3">
        <v>90.3</v>
      </c>
      <c r="B184" s="3">
        <v>435</v>
      </c>
      <c r="C184" s="3">
        <v>0</v>
      </c>
      <c r="D184" s="3">
        <v>15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435</v>
      </c>
      <c r="P184" s="3">
        <v>1</v>
      </c>
    </row>
    <row r="185" spans="1:16">
      <c r="A185" s="3">
        <v>90.5</v>
      </c>
      <c r="B185" s="3">
        <v>430</v>
      </c>
      <c r="C185" s="3">
        <v>0</v>
      </c>
      <c r="D185" s="3">
        <v>6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430</v>
      </c>
      <c r="P185" s="3">
        <v>1</v>
      </c>
    </row>
    <row r="186" spans="1:16">
      <c r="A186" s="3">
        <v>91</v>
      </c>
      <c r="B186" s="3">
        <v>425</v>
      </c>
      <c r="C186" s="3">
        <v>0</v>
      </c>
      <c r="D186" s="3">
        <v>8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425</v>
      </c>
      <c r="P186" s="3">
        <v>1</v>
      </c>
    </row>
    <row r="187" spans="1:16">
      <c r="A187" s="3">
        <v>91.5</v>
      </c>
      <c r="B187" s="3">
        <v>420</v>
      </c>
      <c r="C187" s="3">
        <v>0</v>
      </c>
      <c r="D187" s="3">
        <v>4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420</v>
      </c>
      <c r="P187" s="3">
        <v>1</v>
      </c>
    </row>
    <row r="188" spans="1:16">
      <c r="A188" s="3">
        <v>92</v>
      </c>
      <c r="B188" s="3">
        <v>415</v>
      </c>
      <c r="C188" s="3">
        <v>0</v>
      </c>
      <c r="D188" s="3">
        <v>2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415</v>
      </c>
      <c r="P188" s="3">
        <v>1</v>
      </c>
    </row>
    <row r="189" spans="1:16">
      <c r="A189" s="3">
        <v>92.2</v>
      </c>
      <c r="B189" s="3">
        <v>410</v>
      </c>
      <c r="C189" s="3">
        <v>0</v>
      </c>
      <c r="D189" s="3">
        <v>2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410</v>
      </c>
      <c r="P189" s="3">
        <v>1</v>
      </c>
    </row>
    <row r="190" spans="1:16">
      <c r="A190" s="3">
        <v>92.5</v>
      </c>
      <c r="B190" s="3">
        <v>208</v>
      </c>
      <c r="C190" s="3">
        <v>0</v>
      </c>
      <c r="D190" s="3">
        <v>2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208</v>
      </c>
      <c r="P190" s="3">
        <v>1</v>
      </c>
    </row>
    <row r="191" spans="1:16">
      <c r="A191" s="3">
        <v>94</v>
      </c>
      <c r="B191" s="3">
        <v>26</v>
      </c>
      <c r="C191" s="3">
        <v>0</v>
      </c>
      <c r="D191" s="3">
        <v>2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26</v>
      </c>
      <c r="P191" s="3">
        <v>1</v>
      </c>
    </row>
    <row r="192" spans="1:16">
      <c r="A192" s="3">
        <v>94.3</v>
      </c>
      <c r="B192" s="3">
        <v>25</v>
      </c>
      <c r="C192" s="3">
        <v>0</v>
      </c>
      <c r="D192" s="3">
        <v>2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25</v>
      </c>
      <c r="P192" s="3">
        <v>1</v>
      </c>
    </row>
    <row r="193" spans="1:16">
      <c r="A193" s="3">
        <v>95</v>
      </c>
      <c r="B193" s="3">
        <v>24</v>
      </c>
      <c r="C193" s="3">
        <v>0</v>
      </c>
      <c r="D193" s="3">
        <v>18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24</v>
      </c>
      <c r="P193" s="3">
        <v>1</v>
      </c>
    </row>
    <row r="194" spans="1:16">
      <c r="A194" s="3">
        <v>100</v>
      </c>
      <c r="B194" s="3">
        <v>23</v>
      </c>
      <c r="C194" s="3">
        <v>0</v>
      </c>
      <c r="D194" s="3">
        <v>8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23</v>
      </c>
      <c r="P194" s="3">
        <v>1</v>
      </c>
    </row>
    <row r="195" spans="1:16">
      <c r="A195" s="3">
        <v>101</v>
      </c>
      <c r="B195" s="3">
        <v>22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22</v>
      </c>
      <c r="P195" s="3">
        <v>1</v>
      </c>
    </row>
    <row r="196" spans="1:16">
      <c r="A196" s="3">
        <v>101.3</v>
      </c>
      <c r="B196" s="3">
        <v>21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21</v>
      </c>
      <c r="P196" s="3">
        <v>1</v>
      </c>
    </row>
    <row r="197" spans="1:16">
      <c r="A197" s="3">
        <v>102.2</v>
      </c>
      <c r="B197" s="3">
        <v>20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20</v>
      </c>
      <c r="P197" s="3">
        <v>1</v>
      </c>
    </row>
    <row r="198" spans="1:16">
      <c r="A198" s="3">
        <v>102.3</v>
      </c>
      <c r="B198" s="3">
        <v>19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19</v>
      </c>
      <c r="P198" s="3">
        <v>1</v>
      </c>
    </row>
    <row r="199" spans="1:16">
      <c r="A199" s="3">
        <v>103.2</v>
      </c>
      <c r="B199" s="3">
        <v>18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18</v>
      </c>
      <c r="P199" s="3">
        <v>1</v>
      </c>
    </row>
    <row r="200" spans="1:16">
      <c r="A200" s="3">
        <v>104</v>
      </c>
      <c r="B200" s="3">
        <v>17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17</v>
      </c>
      <c r="P200" s="3">
        <v>1</v>
      </c>
    </row>
    <row r="201" spans="1:16">
      <c r="A201" s="3">
        <v>104.5</v>
      </c>
      <c r="B201" s="3">
        <v>16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16</v>
      </c>
      <c r="P201" s="3">
        <v>1</v>
      </c>
    </row>
    <row r="202" spans="1:16">
      <c r="A202" s="3">
        <v>105.3</v>
      </c>
      <c r="B202" s="3">
        <v>15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15</v>
      </c>
      <c r="P202" s="3">
        <v>1</v>
      </c>
    </row>
    <row r="203" spans="1:16">
      <c r="A203" s="3">
        <v>106</v>
      </c>
      <c r="B203" s="3">
        <v>14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14</v>
      </c>
      <c r="P203" s="3">
        <v>1</v>
      </c>
    </row>
    <row r="204" spans="1:16">
      <c r="A204" s="3">
        <v>106.2</v>
      </c>
      <c r="B204" s="3">
        <v>13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13</v>
      </c>
      <c r="P204" s="3">
        <v>1</v>
      </c>
    </row>
    <row r="205" spans="1:16">
      <c r="A205" s="3">
        <v>108.3</v>
      </c>
      <c r="B205" s="3">
        <v>12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12</v>
      </c>
      <c r="P205" s="3">
        <v>1</v>
      </c>
    </row>
    <row r="206" spans="1:16">
      <c r="A206" s="3">
        <v>111.2</v>
      </c>
      <c r="B206" s="3">
        <v>11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11</v>
      </c>
      <c r="P206" s="3">
        <v>1</v>
      </c>
    </row>
    <row r="207" spans="1:16">
      <c r="A207" s="3">
        <v>120.8</v>
      </c>
      <c r="B207" s="3">
        <v>10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10</v>
      </c>
      <c r="P207" s="3">
        <v>1</v>
      </c>
    </row>
    <row r="208" spans="1:16">
      <c r="A208" s="3">
        <v>121</v>
      </c>
      <c r="B208" s="3">
        <v>9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9</v>
      </c>
      <c r="P208" s="3">
        <v>1</v>
      </c>
    </row>
    <row r="209" spans="1:16">
      <c r="A209" s="3">
        <v>122</v>
      </c>
      <c r="B209" s="3">
        <v>8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8</v>
      </c>
      <c r="P209" s="3">
        <v>1</v>
      </c>
    </row>
    <row r="210" spans="1:16">
      <c r="A210" s="3">
        <v>140.5</v>
      </c>
      <c r="B210" s="3">
        <v>7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7</v>
      </c>
      <c r="P210" s="3">
        <v>1</v>
      </c>
    </row>
    <row r="211" spans="1:16">
      <c r="A211" s="3">
        <v>145</v>
      </c>
      <c r="B211" s="3">
        <v>6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6</v>
      </c>
      <c r="P211" s="3">
        <v>1</v>
      </c>
    </row>
    <row r="212" spans="1:16">
      <c r="A212" s="3">
        <v>162.3</v>
      </c>
      <c r="B212" s="3">
        <v>5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5</v>
      </c>
      <c r="P212" s="3">
        <v>1</v>
      </c>
    </row>
    <row r="213" spans="1:16">
      <c r="A213" s="3">
        <v>200</v>
      </c>
      <c r="B213" s="3">
        <v>4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4</v>
      </c>
      <c r="P213" s="3">
        <v>1</v>
      </c>
    </row>
    <row r="214" spans="1:16">
      <c r="A214" s="3">
        <v>380</v>
      </c>
      <c r="B214" s="3">
        <v>3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3</v>
      </c>
      <c r="P214" s="3">
        <v>1</v>
      </c>
    </row>
    <row r="215" spans="1:16">
      <c r="A215" s="3">
        <v>440</v>
      </c>
      <c r="B215" s="3">
        <v>2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2</v>
      </c>
      <c r="P215" s="3">
        <v>1</v>
      </c>
    </row>
    <row r="216" spans="1:16">
      <c r="A216" s="3">
        <v>500</v>
      </c>
      <c r="B216" s="3">
        <v>1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1</v>
      </c>
      <c r="P216" s="3">
        <v>1</v>
      </c>
    </row>
    <row r="217" spans="1:16">
      <c r="A217" s="3">
        <v>650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1</v>
      </c>
    </row>
    <row r="218" spans="1:16">
      <c r="A218" s="3">
        <v>818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1</v>
      </c>
    </row>
    <row r="219" spans="1:16">
      <c r="A219" s="3">
        <v>1000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1</v>
      </c>
    </row>
    <row r="220" spans="1:16">
      <c r="A220" s="3">
        <v>1100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1</v>
      </c>
    </row>
    <row r="221" spans="1:16">
      <c r="A221" s="3">
        <v>1610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1</v>
      </c>
    </row>
    <row r="222" spans="1:16">
      <c r="A222" s="3">
        <v>2000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1</v>
      </c>
    </row>
  </sheetData>
  <conditionalFormatting sqref="A712:A171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</vt:lpstr>
      <vt:lpstr>datafree</vt:lpstr>
      <vt:lpstr>delete</vt:lpstr>
      <vt:lpstr>config</vt:lpstr>
      <vt:lpstr>sheet_base</vt:lpstr>
      <vt:lpstr>sheet_free</vt:lpstr>
      <vt:lpstr>sheet_base_H</vt:lpstr>
      <vt:lpstr>sheet_free_H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</cp:lastModifiedBy>
  <dcterms:created xsi:type="dcterms:W3CDTF">2015-06-05T18:19:00Z</dcterms:created>
  <dcterms:modified xsi:type="dcterms:W3CDTF">2025-02-08T07:24:20Z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B8B26A1A2F154361961885DBE6DD449D_12</vt:lpwstr>
  </property>
  <property fmtid="{D5CDD505-2E9C-101B-9397-08002B2CF9AE}" pid="3" name="KSOProductBuildVer">
    <vt:lpwstr>2052-12.1.0.19770</vt:lpwstr>
  </property>
</Properties>
</file>